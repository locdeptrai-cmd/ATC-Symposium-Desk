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tables/table6.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10.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5.xml" ContentType="application/vnd.openxmlformats-officedocument.spreadsheetml.table+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Cover" sheetId="1" state="visible" r:id="rId3"/>
    <sheet name="01_Master" sheetId="2" state="visible" r:id="rId4"/>
    <sheet name="02_ATC" sheetId="3" state="visible" r:id="rId5"/>
    <sheet name="03_Airspace" sheetId="4" state="visible" r:id="rId6"/>
    <sheet name="04_AIS_NOTAM_FPL" sheetId="5" state="visible" r:id="rId7"/>
    <sheet name="05_MET" sheetId="6" state="visible" r:id="rId8"/>
    <sheet name="06_PANS_OPS" sheetId="7" state="visible" r:id="rId9"/>
    <sheet name="07_Safety" sheetId="8" state="visible" r:id="rId10"/>
    <sheet name="08_FRMS" sheetId="9" state="visible" r:id="rId11"/>
    <sheet name="09_Abbreviations" sheetId="10" state="visible" r:id="rId12"/>
    <sheet name="10_Sources" sheetId="11" state="visible" r:id="rId13"/>
    <sheet name="11_Dashboard" sheetId="12" state="visible" r:id="rId14"/>
    <sheet name="12_ERP_Schema" sheetId="13" state="visible" r:id="rId15"/>
  </sheets>
  <definedNames>
    <definedName function="false" hidden="false" localSheetId="0" name="_xlnm.Print_Titles" vbProcedure="false">00_Cover!$1:$2</definedName>
    <definedName function="false" hidden="false" localSheetId="1" name="_xlnm.Print_Titles" vbProcedure="false">01_Master!$1:$4</definedName>
    <definedName function="false" hidden="true" localSheetId="1" name="_xlnm._FilterDatabase" vbProcedure="false">01_Master!$A$4:$J$353</definedName>
    <definedName function="false" hidden="false" localSheetId="2" name="_xlnm.Print_Titles" vbProcedure="false">02_ATC!$1:$4</definedName>
    <definedName function="false" hidden="true" localSheetId="2" name="_xlnm._FilterDatabase" vbProcedure="false">02_ATC!$A$4:$J$101</definedName>
    <definedName function="false" hidden="false" localSheetId="3" name="_xlnm.Print_Titles" vbProcedure="false">03_Airspace!$1:$4</definedName>
    <definedName function="false" hidden="true" localSheetId="3" name="_xlnm._FilterDatabase" vbProcedure="false">03_Airspace!$A$4:$J$42</definedName>
    <definedName function="false" hidden="false" localSheetId="4" name="_xlnm.Print_Titles" vbProcedure="false">04_AIS_NOTAM_FPL!$1:$4</definedName>
    <definedName function="false" hidden="true" localSheetId="4" name="_xlnm._FilterDatabase" vbProcedure="false">04_AIS_NOTAM_FPL!$A$4:$J$44</definedName>
    <definedName function="false" hidden="false" localSheetId="5" name="_xlnm.Print_Titles" vbProcedure="false">05_MET!$1:$4</definedName>
    <definedName function="false" hidden="true" localSheetId="5" name="_xlnm._FilterDatabase" vbProcedure="false">05_MET!$A$4:$J$47</definedName>
    <definedName function="false" hidden="false" localSheetId="6" name="_xlnm.Print_Titles" vbProcedure="false">06_PANS_OPS!$1:$4</definedName>
    <definedName function="false" hidden="true" localSheetId="6" name="_xlnm._FilterDatabase" vbProcedure="false">06_PANS_OPS!$A$4:$J$58</definedName>
    <definedName function="false" hidden="false" localSheetId="7" name="_xlnm.Print_Titles" vbProcedure="false">07_Safety!$1:$4</definedName>
    <definedName function="false" hidden="true" localSheetId="7" name="_xlnm._FilterDatabase" vbProcedure="false">07_Safety!$A$4:$J$37</definedName>
    <definedName function="false" hidden="false" localSheetId="8" name="_xlnm.Print_Titles" vbProcedure="false">08_FRMS!$1:$4</definedName>
    <definedName function="false" hidden="true" localSheetId="8" name="_xlnm._FilterDatabase" vbProcedure="false">08_FRMS!$A$4:$J$48</definedName>
    <definedName function="false" hidden="false" localSheetId="9" name="_xlnm.Print_Titles" vbProcedure="false">09_Abbreviations!$1:$4</definedName>
    <definedName function="false" hidden="true" localSheetId="9" name="_xlnm._FilterDatabase" vbProcedure="false">09_Abbreviations!$A$4:$D$115</definedName>
    <definedName function="false" hidden="true" localSheetId="10" name="_xlnm._FilterDatabase" vbProcedure="false">10_Sources!$A$4:$C$31</definedName>
    <definedName function="false" hidden="false" name="MasterTerms" vbProcedure="false">01_Master!$A$4:$J$400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<sst xmlns="http://schemas.openxmlformats.org/spreadsheetml/2006/main" count="7414" uniqueCount="2408">
  <si>
    <t xml:space="preserve">ATC / ATM TERMINOLOGY DATABASE</t>
  </si>
  <si>
    <t xml:space="preserve">VATM / ATC glossary · ICAO-aligned EN–VI · for ERP / AIM / training · 2026-09-12</t>
  </si>
  <si>
    <t xml:space="preserve">BỘ CƠ SỞ DỮ LIỆU TỪ VỰNG &amp; THUẬT NGỮ TIẾNG ANH CHUYÊN NGÀNH</t>
  </si>
  <si>
    <t xml:space="preserve">• Phạm vi: Kiểm soát không lưu (ATC) · Quản lý vùng trời (ASM/ATM) · Thông báo bay / AIM (AIS, FPL, NOTAM) · Khí tượng hàng không (MET) · Thiết kế phương thức bay (PANS-OPS / IFPD) · An toàn hàng không (SMS) · Quản lý mệt mỏi (FRMS).
• Chuẩn tham chiếu: ICAO Annex 2, 3, 6, 10, 11, 14, 15, 19; Doc 4444, 8168, 9613, 9906, 9966, 9859, 9971; FAA PCG (ghi chú khi khác ICAO); Eurocontrol OLDI/ASM.
• Mục đích ERP: khóa ngoại domain/subdomain, mã viết tắt duy nhất, định nghĩa EN, thuật ngữ VI, nguồn, ngữ cảnh khai thác VATM, thuật ngữ liên quan — sẵn sàng import AIXM/glossary module hoặc bảng DIM_TERM.
• Quy ước: Abbreviation có thể trùng ngữ cảnh (APP vừa là service vừa là unit) — dùng Term_ID làm khóa chính. Không phải văn bản pháp lý; khi xung đột lấy AIP Việt Nam / tài liệu gốc ICAO.</t>
  </si>
  <si>
    <t xml:space="preserve">Cấu trúc workbook</t>
  </si>
  <si>
    <t xml:space="preserve">Sheet</t>
  </si>
  <si>
    <t xml:space="preserve">Nội dung</t>
  </si>
  <si>
    <t xml:space="preserve">00_Cover</t>
  </si>
  <si>
    <t xml:space="preserve">Trang này</t>
  </si>
  <si>
    <t xml:space="preserve">01_Master</t>
  </si>
  <si>
    <t xml:space="preserve">Toàn bộ thuật ngữ (bảng chính, filter/sort)</t>
  </si>
  <si>
    <t xml:space="preserve">02_ATC</t>
  </si>
  <si>
    <t xml:space="preserve">Kiểm soát không lưu, giám sát, giãn cách, phraseology</t>
  </si>
  <si>
    <t xml:space="preserve">03_Airspace</t>
  </si>
  <si>
    <t xml:space="preserve">FIR/CTA/TMA, phân loại A–G, PBN, FUA, ATFM</t>
  </si>
  <si>
    <t xml:space="preserve">04_AIS_NOTAM_FPL</t>
  </si>
  <si>
    <t xml:space="preserve">AIM, AIP, NOTAM, FPL/RPL, AMHS, OLDI</t>
  </si>
  <si>
    <t xml:space="preserve">05_MET</t>
  </si>
  <si>
    <t xml:space="preserve">METAR/TAF/SIGMET, RVR, GRF, VAAC</t>
  </si>
  <si>
    <t xml:space="preserve">06_PANS_OPS</t>
  </si>
  <si>
    <t xml:space="preserve">SID/STAR/IAP, minima, bảo vệ chướng ngại, QA Doc 9906</t>
  </si>
  <si>
    <t xml:space="preserve">07_Safety</t>
  </si>
  <si>
    <t xml:space="preserve">SMS, SPI, STCA/MSAW, TEM/TRM, sự cố</t>
  </si>
  <si>
    <t xml:space="preserve">08_FRMS</t>
  </si>
  <si>
    <t xml:space="preserve">Mệt mỏi, WOCL, CAS/BMM, roster, Doc 9966</t>
  </si>
  <si>
    <t xml:space="preserve">09_Abbreviations</t>
  </si>
  <si>
    <t xml:space="preserve">Danh mục viết tắt tra cứu nhanh</t>
  </si>
  <si>
    <t xml:space="preserve">10_Sources</t>
  </si>
  <si>
    <t xml:space="preserve">Nguồn ICAO/FAA/CANSO</t>
  </si>
  <si>
    <t xml:space="preserve">11_Dashboard</t>
  </si>
  <si>
    <t xml:space="preserve">Thống kê số lượng theo domain</t>
  </si>
  <si>
    <t xml:space="preserve">12_ERP_Schema</t>
  </si>
  <si>
    <t xml:space="preserve">Gợi ý schema SQL/JSON cho module từ điển ERP</t>
  </si>
  <si>
    <t xml:space="preserve">01 · MASTER GLOSSARY (ALL DOMAINS)</t>
  </si>
  <si>
    <t xml:space="preserve">Term_ID</t>
  </si>
  <si>
    <t xml:space="preserve">Term_EN</t>
  </si>
  <si>
    <t xml:space="preserve">Abbreviation</t>
  </si>
  <si>
    <t xml:space="preserve">Domain</t>
  </si>
  <si>
    <t xml:space="preserve">Subdomain</t>
  </si>
  <si>
    <t xml:space="preserve">Definition_EN</t>
  </si>
  <si>
    <t xml:space="preserve">Term_VI</t>
  </si>
  <si>
    <t xml:space="preserve">ICAO_Ref</t>
  </si>
  <si>
    <t xml:space="preserve">Ops_Usage</t>
  </si>
  <si>
    <t xml:space="preserve">Related_Terms</t>
  </si>
  <si>
    <t xml:space="preserve">T0001</t>
  </si>
  <si>
    <t xml:space="preserve">Air Traffic Control</t>
  </si>
  <si>
    <t xml:space="preserve">ATC</t>
  </si>
  <si>
    <t xml:space="preserve">Service</t>
  </si>
  <si>
    <t xml:space="preserve">Service operated by appropriate authority to promote the safe, orderly and expeditious flow of air traffic.</t>
  </si>
  <si>
    <t xml:space="preserve">Kiểm soát không lưu</t>
  </si>
  <si>
    <t xml:space="preserve">Annex 11 / Doc 4444</t>
  </si>
  <si>
    <t xml:space="preserve">Core ATS product: TWR / APP / ACC.</t>
  </si>
  <si>
    <t xml:space="preserve">ATS; ATM</t>
  </si>
  <si>
    <t xml:space="preserve">T0002</t>
  </si>
  <si>
    <t xml:space="preserve">Air Traffic Control Service</t>
  </si>
  <si>
    <t xml:space="preserve">ATCS</t>
  </si>
  <si>
    <t xml:space="preserve">Service provided to prevent collisions between aircraft and on the manoeuvring area between aircraft and obstructions, and to expedite and maintain an orderly flow of air traffic.</t>
  </si>
  <si>
    <t xml:space="preserve">Dịch vụ kiểm soát không lưu</t>
  </si>
  <si>
    <t xml:space="preserve">Doc 4444 Ch.1</t>
  </si>
  <si>
    <t xml:space="preserve">Provided in Classes A–E airspace as applicable.</t>
  </si>
  <si>
    <t xml:space="preserve">ATC; Separation</t>
  </si>
  <si>
    <t xml:space="preserve">T0003</t>
  </si>
  <si>
    <t xml:space="preserve">Air Traffic Services</t>
  </si>
  <si>
    <t xml:space="preserve">ATS</t>
  </si>
  <si>
    <t xml:space="preserve">Generic term meaning flight information service, alerting service, air traffic advisory service, and air traffic control service.</t>
  </si>
  <si>
    <t xml:space="preserve">Dịch vụ không lưu</t>
  </si>
  <si>
    <t xml:space="preserve">Annex 11</t>
  </si>
  <si>
    <t xml:space="preserve">Parent of ATC, FIS, ALRS.</t>
  </si>
  <si>
    <t xml:space="preserve">FIS; ALRS</t>
  </si>
  <si>
    <t xml:space="preserve">T0004</t>
  </si>
  <si>
    <t xml:space="preserve">Air Traffic Management</t>
  </si>
  <si>
    <t xml:space="preserve">ATM</t>
  </si>
  <si>
    <t xml:space="preserve">Concept</t>
  </si>
  <si>
    <t xml:space="preserve">Dynamic, integrated management of air traffic and airspace including ATS, ASM and ATFM.</t>
  </si>
  <si>
    <t xml:space="preserve">Quản lý không lưu</t>
  </si>
  <si>
    <t xml:space="preserve">Doc 4444; Doc 9854</t>
  </si>
  <si>
    <t xml:space="preserve">Strategic + tactical layers.</t>
  </si>
  <si>
    <t xml:space="preserve">ATS; ASM; ATFM</t>
  </si>
  <si>
    <t xml:space="preserve">T0005</t>
  </si>
  <si>
    <t xml:space="preserve">Aerodrome Control Service</t>
  </si>
  <si>
    <t xml:space="preserve">TWR</t>
  </si>
  <si>
    <t xml:space="preserve">Unit</t>
  </si>
  <si>
    <t xml:space="preserve">ATC service for aerodrome traffic.</t>
  </si>
  <si>
    <t xml:space="preserve">Kiểm soát tại sân bay</t>
  </si>
  <si>
    <t xml:space="preserve">Doc 4444</t>
  </si>
  <si>
    <t xml:space="preserve">Tower; ground + airborne in ATZ/CTR.</t>
  </si>
  <si>
    <t xml:space="preserve">GND; APP</t>
  </si>
  <si>
    <t xml:space="preserve">T0006</t>
  </si>
  <si>
    <t xml:space="preserve">Aerodrome Control Tower</t>
  </si>
  <si>
    <t xml:space="preserve">Unit established to provide ATC service to aerodrome traffic.</t>
  </si>
  <si>
    <t xml:space="preserve">Đài kiểm soát tại sân bay</t>
  </si>
  <si>
    <t xml:space="preserve">Usually co-located with GND.</t>
  </si>
  <si>
    <t xml:space="preserve">ATZ</t>
  </si>
  <si>
    <t xml:space="preserve">T0007</t>
  </si>
  <si>
    <t xml:space="preserve">Approach Control Service</t>
  </si>
  <si>
    <t xml:space="preserve">APP</t>
  </si>
  <si>
    <t xml:space="preserve">ATC service for arriving or departing controlled flights.</t>
  </si>
  <si>
    <t xml:space="preserve">Kiểm soát tiếp cận</t>
  </si>
  <si>
    <t xml:space="preserve">TMA / CTR arrivals and departures.</t>
  </si>
  <si>
    <t xml:space="preserve">STAR; SID</t>
  </si>
  <si>
    <t xml:space="preserve">T0008</t>
  </si>
  <si>
    <t xml:space="preserve">Approach Control Unit</t>
  </si>
  <si>
    <t xml:space="preserve">Unit established to provide ATC service to controlled flights arriving at, or departing from, one or more aerodromes.</t>
  </si>
  <si>
    <t xml:space="preserve">Đơn vị kiểm soát tiếp cận</t>
  </si>
  <si>
    <t xml:space="preserve">May be combined with ACC.</t>
  </si>
  <si>
    <t xml:space="preserve">TMA</t>
  </si>
  <si>
    <t xml:space="preserve">T0009</t>
  </si>
  <si>
    <t xml:space="preserve">Area Control Service</t>
  </si>
  <si>
    <t xml:space="preserve">ACC</t>
  </si>
  <si>
    <t xml:space="preserve">ATC service for controlled flights in control areas.</t>
  </si>
  <si>
    <t xml:space="preserve">Kiểm soát đường dài</t>
  </si>
  <si>
    <t xml:space="preserve">En-route FIR sectors.</t>
  </si>
  <si>
    <t xml:space="preserve">CTA; UTA</t>
  </si>
  <si>
    <t xml:space="preserve">T0010</t>
  </si>
  <si>
    <t xml:space="preserve">Area Control Centre</t>
  </si>
  <si>
    <t xml:space="preserve">Unit established to provide ATC service to controlled flights in control areas under its jurisdiction.</t>
  </si>
  <si>
    <t xml:space="preserve">Trung tâm kiểm soát đường dài</t>
  </si>
  <si>
    <t xml:space="preserve">HO CHI MINH ACC / HA NOI ACC context.</t>
  </si>
  <si>
    <t xml:space="preserve">FIR</t>
  </si>
  <si>
    <t xml:space="preserve">T0011</t>
  </si>
  <si>
    <t xml:space="preserve">Flight Information Service</t>
  </si>
  <si>
    <t xml:space="preserve">FIS</t>
  </si>
  <si>
    <t xml:space="preserve">Service provided for the purpose of giving advice and information useful for the safe and efficient conduct of flights.</t>
  </si>
  <si>
    <t xml:space="preserve">Dịch vụ thông báo bay</t>
  </si>
  <si>
    <t xml:space="preserve">Mandatory in all classes.</t>
  </si>
  <si>
    <t xml:space="preserve">FIC; AFIS</t>
  </si>
  <si>
    <t xml:space="preserve">T0012</t>
  </si>
  <si>
    <t xml:space="preserve">Flight Information Centre</t>
  </si>
  <si>
    <t xml:space="preserve">FIC</t>
  </si>
  <si>
    <t xml:space="preserve">Unit established to provide flight information service and alerting service.</t>
  </si>
  <si>
    <t xml:space="preserve">Trung tâm thông báo bay</t>
  </si>
  <si>
    <t xml:space="preserve">Often co-located with ACC.</t>
  </si>
  <si>
    <t xml:space="preserve">T0013</t>
  </si>
  <si>
    <t xml:space="preserve">Alerting Service</t>
  </si>
  <si>
    <t xml:space="preserve">ALRS</t>
  </si>
  <si>
    <t xml:space="preserve">Service provided to notify appropriate organizations regarding aircraft in need of search and rescue aid, and assist such organizations as required.</t>
  </si>
  <si>
    <t xml:space="preserve">Dịch vụ báo động</t>
  </si>
  <si>
    <t xml:space="preserve">INCERFA / ALERFA / DETRESFA.</t>
  </si>
  <si>
    <t xml:space="preserve">SAR; RCC</t>
  </si>
  <si>
    <t xml:space="preserve">T0014</t>
  </si>
  <si>
    <t xml:space="preserve">Air Traffic Advisory Service</t>
  </si>
  <si>
    <t xml:space="preserve">Service provided within advisory airspace to ensure separation, in so far as practical, between aircraft operating on IFR flight plans.</t>
  </si>
  <si>
    <t xml:space="preserve">Dịch vụ tư vấn không lưu</t>
  </si>
  <si>
    <t xml:space="preserve">Class F.</t>
  </si>
  <si>
    <t xml:space="preserve">Advisory route</t>
  </si>
  <si>
    <t xml:space="preserve">T0015</t>
  </si>
  <si>
    <t xml:space="preserve">Aerodrome Flight Information Service</t>
  </si>
  <si>
    <t xml:space="preserve">AFIS</t>
  </si>
  <si>
    <t xml:space="preserve">FIS provided at an aerodrome.</t>
  </si>
  <si>
    <t xml:space="preserve">Dịch vụ thông báo bay sân bay</t>
  </si>
  <si>
    <t xml:space="preserve">Circular 211</t>
  </si>
  <si>
    <t xml:space="preserve">Uncontrolled aerodromes.</t>
  </si>
  <si>
    <t xml:space="preserve">T0016</t>
  </si>
  <si>
    <t xml:space="preserve">Clearance</t>
  </si>
  <si>
    <t xml:space="preserve">Procedure</t>
  </si>
  <si>
    <t xml:space="preserve">Authorization for an aircraft to proceed under conditions specified by an ATC unit.</t>
  </si>
  <si>
    <t xml:space="preserve">Huấn lệnh</t>
  </si>
  <si>
    <t xml:space="preserve">Route, level, SID/STAR, approach.</t>
  </si>
  <si>
    <t xml:space="preserve">Clearance limit</t>
  </si>
  <si>
    <t xml:space="preserve">T0017</t>
  </si>
  <si>
    <t xml:space="preserve">Air Traffic Control Clearance</t>
  </si>
  <si>
    <t xml:space="preserve">Authorization for an aircraft to proceed under conditions specified by an ATC unit. [ICAO]</t>
  </si>
  <si>
    <t xml:space="preserve">Huấn lệnh ATC</t>
  </si>
  <si>
    <t xml:space="preserve">Must be read back when required.</t>
  </si>
  <si>
    <t xml:space="preserve">Read-back</t>
  </si>
  <si>
    <t xml:space="preserve">T0018</t>
  </si>
  <si>
    <t xml:space="preserve">Clearance Limit</t>
  </si>
  <si>
    <t xml:space="preserve">Point to which an aircraft is granted an ATC clearance.</t>
  </si>
  <si>
    <t xml:space="preserve">Giới hạn huấn lệnh</t>
  </si>
  <si>
    <t xml:space="preserve">May be a fix, airport or FIR boundary.</t>
  </si>
  <si>
    <t xml:space="preserve">Coordination</t>
  </si>
  <si>
    <t xml:space="preserve">T0019</t>
  </si>
  <si>
    <t xml:space="preserve">ATC Instruction</t>
  </si>
  <si>
    <t xml:space="preserve">Directives issued by ATC requiring a pilot to take a specific action.</t>
  </si>
  <si>
    <t xml:space="preserve">Chỉ thị ATC</t>
  </si>
  <si>
    <t xml:space="preserve">Climb, turn, speed, hold.</t>
  </si>
  <si>
    <t xml:space="preserve">Phraseology</t>
  </si>
  <si>
    <t xml:space="preserve">T0020</t>
  </si>
  <si>
    <t xml:space="preserve">Procedure whereby the receiving station repeats a received message or an appropriate part thereof back to the transmitting station so as to obtain confirmation of correct reception.</t>
  </si>
  <si>
    <t xml:space="preserve">Đọc lại huấn lệnh</t>
  </si>
  <si>
    <t xml:space="preserve">Annex 10 Vol II</t>
  </si>
  <si>
    <t xml:space="preserve">Safety-critical items mandatory.</t>
  </si>
  <si>
    <t xml:space="preserve">Hear-back</t>
  </si>
  <si>
    <t xml:space="preserve">T0021</t>
  </si>
  <si>
    <t xml:space="preserve">Controller verification that the pilot read-back is correct.</t>
  </si>
  <si>
    <t xml:space="preserve">Nghe lại / đối chiếu đọc lại</t>
  </si>
  <si>
    <t xml:space="preserve">Detect read-back errors immediately.</t>
  </si>
  <si>
    <t xml:space="preserve">T0022</t>
  </si>
  <si>
    <t xml:space="preserve">Transfer of Control</t>
  </si>
  <si>
    <t xml:space="preserve">TOC</t>
  </si>
  <si>
    <t xml:space="preserve">Transfer of responsibility for providing ATS from one unit/controller to the next.</t>
  </si>
  <si>
    <t xml:space="preserve">Chuyển giao kiểm soát</t>
  </si>
  <si>
    <t xml:space="preserve">Doc 4444 Ch.10</t>
  </si>
  <si>
    <t xml:space="preserve">At COP or agreed level.</t>
  </si>
  <si>
    <t xml:space="preserve">COP; Coordination</t>
  </si>
  <si>
    <t xml:space="preserve">T0023</t>
  </si>
  <si>
    <t xml:space="preserve">Transferring Unit</t>
  </si>
  <si>
    <t xml:space="preserve">ATC unit in the process of transferring responsibility for providing ATS to an aircraft to the next unit.</t>
  </si>
  <si>
    <t xml:space="preserve">Đơn vị chuyển giao</t>
  </si>
  <si>
    <t xml:space="preserve">Must pass essential traffic info.</t>
  </si>
  <si>
    <t xml:space="preserve">Accepting unit</t>
  </si>
  <si>
    <t xml:space="preserve">T0024</t>
  </si>
  <si>
    <t xml:space="preserve">Accepting Unit</t>
  </si>
  <si>
    <t xml:space="preserve">ATC unit next to take control of an aircraft.</t>
  </si>
  <si>
    <t xml:space="preserve">Đơn vị tiếp nhận</t>
  </si>
  <si>
    <t xml:space="preserve">Must be in a position to accept.</t>
  </si>
  <si>
    <t xml:space="preserve">T0025</t>
  </si>
  <si>
    <t xml:space="preserve">Coordination Point</t>
  </si>
  <si>
    <t xml:space="preserve">COP</t>
  </si>
  <si>
    <t xml:space="preserve">Point agreed between ATS units at or abeam which transfer of control takes place.</t>
  </si>
  <si>
    <t xml:space="preserve">Điểm phối hợp</t>
  </si>
  <si>
    <t xml:space="preserve">LoA / Doc 4444</t>
  </si>
  <si>
    <t xml:space="preserve">Often FIR/sector boundary fix.</t>
  </si>
  <si>
    <t xml:space="preserve">LoA</t>
  </si>
  <si>
    <t xml:space="preserve">T0026</t>
  </si>
  <si>
    <t xml:space="preserve">Letter of Agreement</t>
  </si>
  <si>
    <t xml:space="preserve">Document specifying coordination procedures between ATS units.</t>
  </si>
  <si>
    <t xml:space="preserve">Thỏa thuận phối hợp</t>
  </si>
  <si>
    <t xml:space="preserve">Doc 4444 / Doc 9426</t>
  </si>
  <si>
    <t xml:space="preserve">Levels, COP, silent transfer.</t>
  </si>
  <si>
    <t xml:space="preserve">T0027</t>
  </si>
  <si>
    <t xml:space="preserve">Handover</t>
  </si>
  <si>
    <t xml:space="preserve">Verbal/system transfer of an identified aircraft between controllers.</t>
  </si>
  <si>
    <t xml:space="preserve">Bàn giao</t>
  </si>
  <si>
    <t xml:space="preserve">Ops manual</t>
  </si>
  <si>
    <t xml:space="preserve">Radar handover vs procedural.</t>
  </si>
  <si>
    <t xml:space="preserve">Identification</t>
  </si>
  <si>
    <t xml:space="preserve">T0028</t>
  </si>
  <si>
    <t xml:space="preserve">Surveillance</t>
  </si>
  <si>
    <t xml:space="preserve">Situation which exists when the position indication of a particular aircraft is seen on a situation display and positively identified.</t>
  </si>
  <si>
    <t xml:space="preserve">Nhận dạng</t>
  </si>
  <si>
    <t xml:space="preserve">Doc 4444 Ch.8</t>
  </si>
  <si>
    <t xml:space="preserve">SSR code, ADS-B, position report.</t>
  </si>
  <si>
    <t xml:space="preserve">SSR; ADS-B</t>
  </si>
  <si>
    <t xml:space="preserve">T0029</t>
  </si>
  <si>
    <t xml:space="preserve">SSR Code</t>
  </si>
  <si>
    <t xml:space="preserve">Number assigned to a particular multiple-pulse reply signal transmitted by a transponder in Mode A/3.</t>
  </si>
  <si>
    <t xml:space="preserve">Mã SSR / squawk</t>
  </si>
  <si>
    <t xml:space="preserve">Annex 10</t>
  </si>
  <si>
    <t xml:space="preserve">Discrete vs conspicuity 2000/7000.</t>
  </si>
  <si>
    <t xml:space="preserve">Mode A; Mode C</t>
  </si>
  <si>
    <t xml:space="preserve">T0030</t>
  </si>
  <si>
    <t xml:space="preserve">Mode A</t>
  </si>
  <si>
    <t xml:space="preserve">SSR mode providing identity (4096 codes).</t>
  </si>
  <si>
    <t xml:space="preserve">Squawk assignment.</t>
  </si>
  <si>
    <t xml:space="preserve">SSR</t>
  </si>
  <si>
    <t xml:space="preserve">T0031</t>
  </si>
  <si>
    <t xml:space="preserve">Mode C</t>
  </si>
  <si>
    <t xml:space="preserve">SSR mode providing pressure-altitude.</t>
  </si>
  <si>
    <t xml:space="preserve">Used for vertical separation verification.</t>
  </si>
  <si>
    <t xml:space="preserve">FL</t>
  </si>
  <si>
    <t xml:space="preserve">T0032</t>
  </si>
  <si>
    <t xml:space="preserve">Mode S</t>
  </si>
  <si>
    <t xml:space="preserve">SSR mode with selective addressing and data downlink.</t>
  </si>
  <si>
    <t xml:space="preserve">Aircraft ID, BDS registers.</t>
  </si>
  <si>
    <t xml:space="preserve">ADS-B</t>
  </si>
  <si>
    <t xml:space="preserve">T0033</t>
  </si>
  <si>
    <t xml:space="preserve">Automatic Dependent Surveillance — Broadcast. Aircraft broadcasts position/velocity derived from onboard nav.</t>
  </si>
  <si>
    <t xml:space="preserve">Giám sát phụ thuộc tự động — phát quảng bá</t>
  </si>
  <si>
    <t xml:space="preserve">Doc 9924 / Doc 4444</t>
  </si>
  <si>
    <t xml:space="preserve">1090ES in VN FIR.</t>
  </si>
  <si>
    <t xml:space="preserve">WAM; MLAT</t>
  </si>
  <si>
    <t xml:space="preserve">T0034</t>
  </si>
  <si>
    <t xml:space="preserve">ADS-C</t>
  </si>
  <si>
    <t xml:space="preserve">Automatic Dependent Surveillance — Contract. Reports sent per agreement with ATS unit.</t>
  </si>
  <si>
    <t xml:space="preserve">Giám sát phụ thuộc tự động — hợp đồng</t>
  </si>
  <si>
    <t xml:space="preserve">Oceanic / remote.</t>
  </si>
  <si>
    <t xml:space="preserve">CPDLC</t>
  </si>
  <si>
    <t xml:space="preserve">T0035</t>
  </si>
  <si>
    <t xml:space="preserve">COM</t>
  </si>
  <si>
    <t xml:space="preserve">Controller–Pilot Data Link Communications.</t>
  </si>
  <si>
    <t xml:space="preserve">Liên lạc dữ liệu kiểm soát viên–phi công</t>
  </si>
  <si>
    <t xml:space="preserve">Doc 4444 / Doc 10037</t>
  </si>
  <si>
    <t xml:space="preserve">Complements voice.</t>
  </si>
  <si>
    <t xml:space="preserve">ADS-C; ATN</t>
  </si>
  <si>
    <t xml:space="preserve">T0036</t>
  </si>
  <si>
    <t xml:space="preserve">Primary Surveillance Radar</t>
  </si>
  <si>
    <t xml:space="preserve">PSR</t>
  </si>
  <si>
    <t xml:space="preserve">Radar system using reflected radio signals.</t>
  </si>
  <si>
    <t xml:space="preserve">Ra-đa giám sát sơ cấp</t>
  </si>
  <si>
    <t xml:space="preserve">No transponder required.</t>
  </si>
  <si>
    <t xml:space="preserve">T0037</t>
  </si>
  <si>
    <t xml:space="preserve">Secondary Surveillance Radar</t>
  </si>
  <si>
    <t xml:space="preserve">Radar system using transponder replies.</t>
  </si>
  <si>
    <t xml:space="preserve">Ra-đa giám sát thứ cấp</t>
  </si>
  <si>
    <t xml:space="preserve">Mode A/C/S.</t>
  </si>
  <si>
    <t xml:space="preserve">T0038</t>
  </si>
  <si>
    <t xml:space="preserve">Multilateration</t>
  </si>
  <si>
    <t xml:space="preserve">MLAT</t>
  </si>
  <si>
    <t xml:space="preserve">Surveillance using time difference of arrival of transponder signals at multiple ground stations.</t>
  </si>
  <si>
    <t xml:space="preserve">Đa trạm / đa phương</t>
  </si>
  <si>
    <t xml:space="preserve">Doc 9924</t>
  </si>
  <si>
    <t xml:space="preserve">Surface and TMA.</t>
  </si>
  <si>
    <t xml:space="preserve">WAM</t>
  </si>
  <si>
    <t xml:space="preserve">T0039</t>
  </si>
  <si>
    <t xml:space="preserve">Wide Area Multilateration</t>
  </si>
  <si>
    <t xml:space="preserve">MLAT covering en-route or large TMA.</t>
  </si>
  <si>
    <t xml:space="preserve">Đa trạm diện rộng</t>
  </si>
  <si>
    <t xml:space="preserve">Eurocontrol / ICAO</t>
  </si>
  <si>
    <t xml:space="preserve">Complements SSR.</t>
  </si>
  <si>
    <t xml:space="preserve">T0040</t>
  </si>
  <si>
    <t xml:space="preserve">Situation Display</t>
  </si>
  <si>
    <t xml:space="preserve">Electronic display depicting position and movement of aircraft and other information.</t>
  </si>
  <si>
    <t xml:space="preserve">Màn hình tình huống</t>
  </si>
  <si>
    <t xml:space="preserve">CWP / CICS.</t>
  </si>
  <si>
    <t xml:space="preserve">CWP</t>
  </si>
  <si>
    <t xml:space="preserve">T0041</t>
  </si>
  <si>
    <t xml:space="preserve">Controller Working Position</t>
  </si>
  <si>
    <t xml:space="preserve">HMI</t>
  </si>
  <si>
    <t xml:space="preserve">Workstation used by an ATCO to provide ATS.</t>
  </si>
  <si>
    <t xml:space="preserve">Vị trí làm việc kiểm soát viên</t>
  </si>
  <si>
    <t xml:space="preserve">Eurocontrol HMI</t>
  </si>
  <si>
    <t xml:space="preserve">Radar + EFS + COM.</t>
  </si>
  <si>
    <t xml:space="preserve">EFS</t>
  </si>
  <si>
    <t xml:space="preserve">T0042</t>
  </si>
  <si>
    <t xml:space="preserve">Electronic Flight Strip</t>
  </si>
  <si>
    <t xml:space="preserve">Digital representation of a paper flight progress strip.</t>
  </si>
  <si>
    <t xml:space="preserve">Strip điện tử</t>
  </si>
  <si>
    <t xml:space="preserve">ATM systems</t>
  </si>
  <si>
    <t xml:space="preserve">ERP / Anpha roster integration point.</t>
  </si>
  <si>
    <t xml:space="preserve">FPL</t>
  </si>
  <si>
    <t xml:space="preserve">T0043</t>
  </si>
  <si>
    <t xml:space="preserve">Flight Progress Strip</t>
  </si>
  <si>
    <t xml:space="preserve">Paper or electronic strip containing current flight data used by controllers.</t>
  </si>
  <si>
    <t xml:space="preserve">Strip tiến trình bay</t>
  </si>
  <si>
    <t xml:space="preserve">Doc 4444 heritage</t>
  </si>
  <si>
    <t xml:space="preserve">Still used as fallback.</t>
  </si>
  <si>
    <t xml:space="preserve">T0044</t>
  </si>
  <si>
    <t xml:space="preserve">Separation</t>
  </si>
  <si>
    <t xml:space="preserve">Spacing between aircraft, levels or tracks to maintain safety.</t>
  </si>
  <si>
    <t xml:space="preserve">Giãn cách</t>
  </si>
  <si>
    <t xml:space="preserve">Doc 4444 Ch.5–8</t>
  </si>
  <si>
    <t xml:space="preserve">Vertical, longitudinal, lateral, radar.</t>
  </si>
  <si>
    <t xml:space="preserve">Minima</t>
  </si>
  <si>
    <t xml:space="preserve">T0045</t>
  </si>
  <si>
    <t xml:space="preserve">Separation Minima</t>
  </si>
  <si>
    <t xml:space="preserve">Minimum spacing prescribed between aircraft.</t>
  </si>
  <si>
    <t xml:space="preserve">Tiêu chuẩn giãn cách tối thiểu</t>
  </si>
  <si>
    <t xml:space="preserve">Depends on nav/surveillance.</t>
  </si>
  <si>
    <t xml:space="preserve">RNAV; RNP</t>
  </si>
  <si>
    <t xml:space="preserve">T0046</t>
  </si>
  <si>
    <t xml:space="preserve">Vertical Separation</t>
  </si>
  <si>
    <t xml:space="preserve">Separation obtained by requiring aircraft to operate at different levels.</t>
  </si>
  <si>
    <t xml:space="preserve">Giãn cách thẳng đứng</t>
  </si>
  <si>
    <t xml:space="preserve">1000 ft below FL290 RVSM; 2000 ft otherwise / non-RVSM.</t>
  </si>
  <si>
    <t xml:space="preserve">RVSM; FL</t>
  </si>
  <si>
    <t xml:space="preserve">T0047</t>
  </si>
  <si>
    <t xml:space="preserve">Reduced Vertical Separation Minimum</t>
  </si>
  <si>
    <t xml:space="preserve">RVSM</t>
  </si>
  <si>
    <t xml:space="preserve">Application of 1000 ft vertical separation between FL290 and FL410 inclusive.</t>
  </si>
  <si>
    <t xml:space="preserve">Giãn cách thẳng đứng giảm</t>
  </si>
  <si>
    <t xml:space="preserve">Doc 9574</t>
  </si>
  <si>
    <t xml:space="preserve">MASPS required.</t>
  </si>
  <si>
    <t xml:space="preserve">FL; Monitoring</t>
  </si>
  <si>
    <t xml:space="preserve">T0048</t>
  </si>
  <si>
    <t xml:space="preserve">Horizontal Separation</t>
  </si>
  <si>
    <t xml:space="preserve">Lateral or longitudinal separation.</t>
  </si>
  <si>
    <t xml:space="preserve">Giãn cách nằm ngang</t>
  </si>
  <si>
    <t xml:space="preserve">Procedural or surveillance.</t>
  </si>
  <si>
    <t xml:space="preserve">RNAV</t>
  </si>
  <si>
    <t xml:space="preserve">T0049</t>
  </si>
  <si>
    <t xml:space="preserve">Radar Separation</t>
  </si>
  <si>
    <t xml:space="preserve">Horizontal separation based on radar/surveillance position information.</t>
  </si>
  <si>
    <t xml:space="preserve">Giãn cách ra-đa</t>
  </si>
  <si>
    <t xml:space="preserve">Typically 3 / 5 NM.</t>
  </si>
  <si>
    <t xml:space="preserve">PSR; SSR</t>
  </si>
  <si>
    <t xml:space="preserve">T0050</t>
  </si>
  <si>
    <t xml:space="preserve">Wake Turbulence Separation</t>
  </si>
  <si>
    <t xml:space="preserve">Minima based on wake category (SUPER / HEAVY / MEDIUM / LIGHT or RECAT).</t>
  </si>
  <si>
    <t xml:space="preserve">Giãn cách rối khí động</t>
  </si>
  <si>
    <t xml:space="preserve">Time or distance based.</t>
  </si>
  <si>
    <t xml:space="preserve">RECAT</t>
  </si>
  <si>
    <t xml:space="preserve">T0051</t>
  </si>
  <si>
    <t xml:space="preserve">Revised wake turbulence categorization (EU/US 6-category schemes).</t>
  </si>
  <si>
    <t xml:space="preserve">Phân loại rối khí động cải tiến</t>
  </si>
  <si>
    <t xml:space="preserve">Doc 4444 Amdt / FAA</t>
  </si>
  <si>
    <t xml:space="preserve">Optimizes capacity.</t>
  </si>
  <si>
    <t xml:space="preserve">Wake</t>
  </si>
  <si>
    <t xml:space="preserve">T0052</t>
  </si>
  <si>
    <t xml:space="preserve">Visual Separation</t>
  </si>
  <si>
    <t xml:space="preserve">Separation applied by pilot or tower controller using visual acquisition.</t>
  </si>
  <si>
    <t xml:space="preserve">Giãn cách nhìn thấy</t>
  </si>
  <si>
    <t xml:space="preserve">VMC / tower.</t>
  </si>
  <si>
    <t xml:space="preserve">VMC</t>
  </si>
  <si>
    <t xml:space="preserve">T0053</t>
  </si>
  <si>
    <t xml:space="preserve">Essential Traffic</t>
  </si>
  <si>
    <t xml:space="preserve">Controlled traffic to which the provision of separation by ATC is applicable, but which, in relation to a particular controlled flight is not separated by the appropriate minima.</t>
  </si>
  <si>
    <t xml:space="preserve">Giao thông thiết yếu</t>
  </si>
  <si>
    <t xml:space="preserve">Must be passed to pilot.</t>
  </si>
  <si>
    <t xml:space="preserve">Traffic info</t>
  </si>
  <si>
    <t xml:space="preserve">T0054</t>
  </si>
  <si>
    <t xml:space="preserve">Traffic Information</t>
  </si>
  <si>
    <t xml:space="preserve">Information issued by ATS unit to alert a pilot to other known or observed traffic which may be in proximity.</t>
  </si>
  <si>
    <t xml:space="preserve">Thông tin giao thông</t>
  </si>
  <si>
    <t xml:space="preserve">Clock position, level, type.</t>
  </si>
  <si>
    <t xml:space="preserve">See-and-avoid</t>
  </si>
  <si>
    <t xml:space="preserve">T0055</t>
  </si>
  <si>
    <t xml:space="preserve">Holding</t>
  </si>
  <si>
    <t xml:space="preserve">A predetermined manoeuvre which keeps an aircraft within a specified airspace while awaiting further clearance.</t>
  </si>
  <si>
    <t xml:space="preserve">Bay chờ</t>
  </si>
  <si>
    <t xml:space="preserve">Doc 8168</t>
  </si>
  <si>
    <t xml:space="preserve">Standard holding pattern.</t>
  </si>
  <si>
    <t xml:space="preserve">Holding fix</t>
  </si>
  <si>
    <t xml:space="preserve">T0056</t>
  </si>
  <si>
    <t xml:space="preserve">Holding Fix</t>
  </si>
  <si>
    <t xml:space="preserve">Geographical location that serves as a reference for a holding procedure.</t>
  </si>
  <si>
    <t xml:space="preserve">Điểm chờ</t>
  </si>
  <si>
    <t xml:space="preserve">Often IAF or waypoint.</t>
  </si>
  <si>
    <t xml:space="preserve">IAF</t>
  </si>
  <si>
    <t xml:space="preserve">T0057</t>
  </si>
  <si>
    <t xml:space="preserve">Speed Control</t>
  </si>
  <si>
    <t xml:space="preserve">ATC instruction to maintain, increase or reduce IAS/Mach.</t>
  </si>
  <si>
    <t xml:space="preserve">Kiểm soát tốc độ</t>
  </si>
  <si>
    <t xml:space="preserve">Sequence management.</t>
  </si>
  <si>
    <t xml:space="preserve">IAS; Mach</t>
  </si>
  <si>
    <t xml:space="preserve">T0058</t>
  </si>
  <si>
    <t xml:space="preserve">Vectoring</t>
  </si>
  <si>
    <t xml:space="preserve">Provision of navigational guidance to aircraft in the form of specific headings, based on the use of ATS surveillance system.</t>
  </si>
  <si>
    <t xml:space="preserve">Dẫn đường bằng hướng</t>
  </si>
  <si>
    <t xml:space="preserve">Must include reason when leaving route.</t>
  </si>
  <si>
    <t xml:space="preserve">Heading</t>
  </si>
  <si>
    <t xml:space="preserve">T0059</t>
  </si>
  <si>
    <t xml:space="preserve">Identification Squawk</t>
  </si>
  <si>
    <t xml:space="preserve">Discrete Mode A code assigned for identification.</t>
  </si>
  <si>
    <t xml:space="preserve">Mã nhận dạng</t>
  </si>
  <si>
    <t xml:space="preserve">IDENT / special position identification.</t>
  </si>
  <si>
    <t xml:space="preserve">SPI</t>
  </si>
  <si>
    <t xml:space="preserve">T0060</t>
  </si>
  <si>
    <t xml:space="preserve">Emergency Squawk</t>
  </si>
  <si>
    <t xml:space="preserve">Emergency</t>
  </si>
  <si>
    <t xml:space="preserve">Mode A 7700 (emergency), 7600 (radio fail), 7500 (unlawful interference).</t>
  </si>
  <si>
    <t xml:space="preserve">Mã khẩn</t>
  </si>
  <si>
    <t xml:space="preserve">Doc 4444 / Annex 2</t>
  </si>
  <si>
    <t xml:space="preserve">Trigger ALRS.</t>
  </si>
  <si>
    <t xml:space="preserve">RCF</t>
  </si>
  <si>
    <t xml:space="preserve">T0061</t>
  </si>
  <si>
    <t xml:space="preserve">Radiocommunication Failure</t>
  </si>
  <si>
    <t xml:space="preserve">Loss of two-way communication.</t>
  </si>
  <si>
    <t xml:space="preserve">Mất liên lạc vô tuyến</t>
  </si>
  <si>
    <t xml:space="preserve">Doc 4444 Ch.15</t>
  </si>
  <si>
    <t xml:space="preserve">Squawk 7600; proceed as filed / last clearance.</t>
  </si>
  <si>
    <t xml:space="preserve">COM fail</t>
  </si>
  <si>
    <t xml:space="preserve">T0062</t>
  </si>
  <si>
    <t xml:space="preserve">Mayday</t>
  </si>
  <si>
    <t xml:space="preserve">Distress prefix: aircraft threatened by grave and imminent danger and requiring immediate assistance.</t>
  </si>
  <si>
    <t xml:space="preserve">Spoken 3 times.</t>
  </si>
  <si>
    <t xml:space="preserve">PAN PAN</t>
  </si>
  <si>
    <t xml:space="preserve">T0063</t>
  </si>
  <si>
    <t xml:space="preserve">Urgency prefix: condition concerning safety of aircraft or person but not requiring immediate assistance.</t>
  </si>
  <si>
    <t xml:space="preserve">T0064</t>
  </si>
  <si>
    <t xml:space="preserve">Go-around</t>
  </si>
  <si>
    <t xml:space="preserve">A missed approach executed from a visual or instrument approach.</t>
  </si>
  <si>
    <t xml:space="preserve">Đi vòng / bỏ tiếp cận</t>
  </si>
  <si>
    <t xml:space="preserve">Doc 8168 / Doc 4444</t>
  </si>
  <si>
    <t xml:space="preserve">Follow MAP unless vectored.</t>
  </si>
  <si>
    <t xml:space="preserve">MAP</t>
  </si>
  <si>
    <t xml:space="preserve">T0065</t>
  </si>
  <si>
    <t xml:space="preserve">Missed Approach Procedure</t>
  </si>
  <si>
    <t xml:space="preserve">The procedure to be followed if the approach cannot be continued.</t>
  </si>
  <si>
    <t xml:space="preserve">Phương thức tiếp cận hỏng</t>
  </si>
  <si>
    <t xml:space="preserve">Published in IAP.</t>
  </si>
  <si>
    <t xml:space="preserve">DA/MDA</t>
  </si>
  <si>
    <t xml:space="preserve">T0066</t>
  </si>
  <si>
    <t xml:space="preserve">Visual Approach</t>
  </si>
  <si>
    <t xml:space="preserve">An approach by an IFR flight when either part or all of an IAP is not completed and the approach is executed with visual reference to terrain.</t>
  </si>
  <si>
    <t xml:space="preserve">Tiếp cận nhìn thấy</t>
  </si>
  <si>
    <t xml:space="preserve">Requires reported ceiling/vis as applicable.</t>
  </si>
  <si>
    <t xml:space="preserve">T0067</t>
  </si>
  <si>
    <t xml:space="preserve">Contact Approach</t>
  </si>
  <si>
    <t xml:space="preserve">US-specific approach in lieu of published IAP in IMC with ground contact. Not an ICAO standard.</t>
  </si>
  <si>
    <t xml:space="preserve">Tiếp cận tiếp xúc (FAA)</t>
  </si>
  <si>
    <t xml:space="preserve">FAA PCG</t>
  </si>
  <si>
    <t xml:space="preserve">Do not confuse with ICAO visual approach.</t>
  </si>
  <si>
    <t xml:space="preserve">Visual approach</t>
  </si>
  <si>
    <t xml:space="preserve">T0068</t>
  </si>
  <si>
    <t xml:space="preserve">Low Visibility Procedures</t>
  </si>
  <si>
    <t xml:space="preserve">LVP</t>
  </si>
  <si>
    <t xml:space="preserve">Ops</t>
  </si>
  <si>
    <t xml:space="preserve">Procedures applied at an aerodrome for the purpose of ensuring safe operations during Cat II/III or low vis conditions.</t>
  </si>
  <si>
    <t xml:space="preserve">Quy trình tầm nhìn thấp</t>
  </si>
  <si>
    <t xml:space="preserve">Doc 9476 / Doc 9830</t>
  </si>
  <si>
    <t xml:space="preserve">Stop-bars, ILS critical areas.</t>
  </si>
  <si>
    <t xml:space="preserve">RVR; ILS</t>
  </si>
  <si>
    <t xml:space="preserve">T0069</t>
  </si>
  <si>
    <t xml:space="preserve">Runway Incursion</t>
  </si>
  <si>
    <t xml:space="preserve">Safety</t>
  </si>
  <si>
    <t xml:space="preserve">Any occurrence at an aerodrome involving the incorrect presence of an aircraft, vehicle or person on the protected area of a surface designated for landing and take-off.</t>
  </si>
  <si>
    <t xml:space="preserve">Xâm nhập đường CHC</t>
  </si>
  <si>
    <t xml:space="preserve">Doc 9870</t>
  </si>
  <si>
    <t xml:space="preserve">Severity A–E.</t>
  </si>
  <si>
    <t xml:space="preserve">SMS</t>
  </si>
  <si>
    <t xml:space="preserve">T0070</t>
  </si>
  <si>
    <t xml:space="preserve">Runway Excursion</t>
  </si>
  <si>
    <t xml:space="preserve">Veer-off or overrun off the runway surface.</t>
  </si>
  <si>
    <t xml:space="preserve">Trượt / lao khỏi đường CHC</t>
  </si>
  <si>
    <t xml:space="preserve">ICAO RST</t>
  </si>
  <si>
    <t xml:space="preserve">RESA, EMAS.</t>
  </si>
  <si>
    <t xml:space="preserve">RESA</t>
  </si>
  <si>
    <t xml:space="preserve">T0071</t>
  </si>
  <si>
    <t xml:space="preserve">Ground Movement</t>
  </si>
  <si>
    <t xml:space="preserve">Aerodrome</t>
  </si>
  <si>
    <t xml:space="preserve">Movement of aircraft on the manoeuvring area under own power, excluding take-off and landing.</t>
  </si>
  <si>
    <t xml:space="preserve">Di chuyển mặt đất</t>
  </si>
  <si>
    <t xml:space="preserve">Taxi, push-back.</t>
  </si>
  <si>
    <t xml:space="preserve">GND</t>
  </si>
  <si>
    <t xml:space="preserve">T0072</t>
  </si>
  <si>
    <t xml:space="preserve">Push-back</t>
  </si>
  <si>
    <t xml:space="preserve">Movement of an aircraft from a stand using a tractor/tug.</t>
  </si>
  <si>
    <t xml:space="preserve">Đẩy lùi</t>
  </si>
  <si>
    <t xml:space="preserve">Doc 4444 phraseology</t>
  </si>
  <si>
    <t xml:space="preserve">Requires start-up/push clearance as local.</t>
  </si>
  <si>
    <t xml:space="preserve">T0073</t>
  </si>
  <si>
    <t xml:space="preserve">Line-up</t>
  </si>
  <si>
    <t xml:space="preserve">Taxi onto the runway and await take-off clearance.</t>
  </si>
  <si>
    <t xml:space="preserve">Vào vị trí cất cánh</t>
  </si>
  <si>
    <t xml:space="preserve">Conditional line-up possible.</t>
  </si>
  <si>
    <t xml:space="preserve">Take-off</t>
  </si>
  <si>
    <t xml:space="preserve">T0074</t>
  </si>
  <si>
    <t xml:space="preserve">Conditional Clearance</t>
  </si>
  <si>
    <t xml:space="preserve">Clearance given subject to a condition, typically passing traffic.</t>
  </si>
  <si>
    <t xml:space="preserve">Huấn lệnh có điều kiện</t>
  </si>
  <si>
    <t xml:space="preserve">Behind the landing… line up.</t>
  </si>
  <si>
    <t xml:space="preserve">T0075</t>
  </si>
  <si>
    <t xml:space="preserve">Expected Approach Time</t>
  </si>
  <si>
    <t xml:space="preserve">EAT</t>
  </si>
  <si>
    <t xml:space="preserve">Flow</t>
  </si>
  <si>
    <t xml:space="preserve">Time at which ATC expects an arriving aircraft, following a delay, will leave the holding fix to complete its approach.</t>
  </si>
  <si>
    <t xml:space="preserve">Giờ dự kiến tiếp cận</t>
  </si>
  <si>
    <t xml:space="preserve">Issued when delay expected.</t>
  </si>
  <si>
    <t xml:space="preserve">T0076</t>
  </si>
  <si>
    <t xml:space="preserve">Calculated Take-Off Time</t>
  </si>
  <si>
    <t xml:space="preserve">CTOT</t>
  </si>
  <si>
    <t xml:space="preserve">A time calculated and issued by ATFM, at which time the flight is expected to depart.</t>
  </si>
  <si>
    <t xml:space="preserve">Giờ cất cánh tính toán</t>
  </si>
  <si>
    <t xml:space="preserve">Doc 9971</t>
  </si>
  <si>
    <t xml:space="preserve">Slot.</t>
  </si>
  <si>
    <t xml:space="preserve">ATFM</t>
  </si>
  <si>
    <t xml:space="preserve">T0077</t>
  </si>
  <si>
    <t xml:space="preserve">Estimated Elapsed Time</t>
  </si>
  <si>
    <t xml:space="preserve">EET</t>
  </si>
  <si>
    <t xml:space="preserve">Estimated time required from take-off to overfly a significant point.</t>
  </si>
  <si>
    <t xml:space="preserve">Thời gian bay ước tính</t>
  </si>
  <si>
    <t xml:space="preserve">Doc 4444 App.2</t>
  </si>
  <si>
    <t xml:space="preserve">Item 18 EET/.</t>
  </si>
  <si>
    <t xml:space="preserve">T0078</t>
  </si>
  <si>
    <t xml:space="preserve">Estimated Time of Arrival</t>
  </si>
  <si>
    <t xml:space="preserve">ETA</t>
  </si>
  <si>
    <t xml:space="preserve">Time at which it is estimated that the aircraft will arrive over a specified point or aerodrome.</t>
  </si>
  <si>
    <t xml:space="preserve">Giờ đến ước tính</t>
  </si>
  <si>
    <t xml:space="preserve">Update via position reports.</t>
  </si>
  <si>
    <t xml:space="preserve">ATA</t>
  </si>
  <si>
    <t xml:space="preserve">T0079</t>
  </si>
  <si>
    <t xml:space="preserve">Actual Time of Arrival</t>
  </si>
  <si>
    <t xml:space="preserve">Actual time an aircraft arrived.</t>
  </si>
  <si>
    <t xml:space="preserve">Giờ đến thực tế</t>
  </si>
  <si>
    <t xml:space="preserve">ATS messages ARR</t>
  </si>
  <si>
    <t xml:space="preserve">Close FPL.</t>
  </si>
  <si>
    <t xml:space="preserve">ARR</t>
  </si>
  <si>
    <t xml:space="preserve">T0080</t>
  </si>
  <si>
    <t xml:space="preserve">Actual Time of Departure</t>
  </si>
  <si>
    <t xml:space="preserve">ATD</t>
  </si>
  <si>
    <t xml:space="preserve">Actual time an aircraft became airborne.</t>
  </si>
  <si>
    <t xml:space="preserve">Giờ đi thực tế</t>
  </si>
  <si>
    <t xml:space="preserve">DEP message</t>
  </si>
  <si>
    <t xml:space="preserve">Update estimates.</t>
  </si>
  <si>
    <t xml:space="preserve">DEP</t>
  </si>
  <si>
    <t xml:space="preserve">T0081</t>
  </si>
  <si>
    <t xml:space="preserve">Position Report</t>
  </si>
  <si>
    <t xml:space="preserve">Report over a significant point including time and level.</t>
  </si>
  <si>
    <t xml:space="preserve">Báo cáo vị trí</t>
  </si>
  <si>
    <t xml:space="preserve">Compulsory vs on-request.</t>
  </si>
  <si>
    <t xml:space="preserve">Waypoint</t>
  </si>
  <si>
    <t xml:space="preserve">T0082</t>
  </si>
  <si>
    <t xml:space="preserve">Significant Point</t>
  </si>
  <si>
    <t xml:space="preserve">Nav</t>
  </si>
  <si>
    <t xml:space="preserve">Specified geographical location used in defining ATS route or flight path and for progress reporting.</t>
  </si>
  <si>
    <t xml:space="preserve">Điểm trọng yếu</t>
  </si>
  <si>
    <t xml:space="preserve">Named or lat/long.</t>
  </si>
  <si>
    <t xml:space="preserve">T0083</t>
  </si>
  <si>
    <t xml:space="preserve">Flight Level</t>
  </si>
  <si>
    <t xml:space="preserve">Altitude</t>
  </si>
  <si>
    <t xml:space="preserve">Surface of constant atmospheric pressure related to 1013.25 hPa, expressed in hundreds of feet.</t>
  </si>
  <si>
    <t xml:space="preserve">Mực bay</t>
  </si>
  <si>
    <t xml:space="preserve">Annex 2 / Doc 4444</t>
  </si>
  <si>
    <t xml:space="preserve">FL250 = 25 000 ft PA.</t>
  </si>
  <si>
    <t xml:space="preserve">QNE</t>
  </si>
  <si>
    <t xml:space="preserve">T0084</t>
  </si>
  <si>
    <t xml:space="preserve">Vertical distance of a level, a point or an object considered as a point, measured from mean sea level.</t>
  </si>
  <si>
    <t xml:space="preserve">Độ cao so với mực nước biển</t>
  </si>
  <si>
    <t xml:space="preserve">Annex 2</t>
  </si>
  <si>
    <t xml:space="preserve">QNH.</t>
  </si>
  <si>
    <t xml:space="preserve">QNH</t>
  </si>
  <si>
    <t xml:space="preserve">T0085</t>
  </si>
  <si>
    <t xml:space="preserve">Height</t>
  </si>
  <si>
    <t xml:space="preserve">Vertical distance measured from a specified datum.</t>
  </si>
  <si>
    <t xml:space="preserve">Độ cao so với mốc</t>
  </si>
  <si>
    <t xml:space="preserve">QFE / AGL.</t>
  </si>
  <si>
    <t xml:space="preserve">QFE</t>
  </si>
  <si>
    <t xml:space="preserve">T0086</t>
  </si>
  <si>
    <t xml:space="preserve">Transition Altitude</t>
  </si>
  <si>
    <t xml:space="preserve">TA</t>
  </si>
  <si>
    <t xml:space="preserve">Altitude at or below which the vertical position of an aircraft is controlled by reference to altitudes.</t>
  </si>
  <si>
    <t xml:space="preserve">Độ cao chuyển tiếp</t>
  </si>
  <si>
    <t xml:space="preserve">VN typically 10 000 ft or as AIP.</t>
  </si>
  <si>
    <t xml:space="preserve">TL</t>
  </si>
  <si>
    <t xml:space="preserve">T0087</t>
  </si>
  <si>
    <t xml:space="preserve">Transition Level</t>
  </si>
  <si>
    <t xml:space="preserve">Lowest flight level available for use above the transition altitude.</t>
  </si>
  <si>
    <t xml:space="preserve">Mực bay chuyển tiếp</t>
  </si>
  <si>
    <t xml:space="preserve">Based on QNH.</t>
  </si>
  <si>
    <t xml:space="preserve">T0088</t>
  </si>
  <si>
    <t xml:space="preserve">Transition Layer</t>
  </si>
  <si>
    <t xml:space="preserve">Airspace between the transition altitude and the transition level.</t>
  </si>
  <si>
    <t xml:space="preserve">Tầng chuyển tiếp</t>
  </si>
  <si>
    <t xml:space="preserve">Do not cruise in layer.</t>
  </si>
  <si>
    <t xml:space="preserve">TA; TL</t>
  </si>
  <si>
    <t xml:space="preserve">T0089</t>
  </si>
  <si>
    <t xml:space="preserve">Altimetry</t>
  </si>
  <si>
    <t xml:space="preserve">Altimeter subscale setting to obtain elevation when on the ground; altitude AMSL in the air.</t>
  </si>
  <si>
    <t xml:space="preserve">Annex 3 / Doc 8896</t>
  </si>
  <si>
    <t xml:space="preserve">hPa in ICAO.</t>
  </si>
  <si>
    <t xml:space="preserve">T0090</t>
  </si>
  <si>
    <t xml:space="preserve">Altimeter subscale setting to obtain zero when on the ground; height AAL.</t>
  </si>
  <si>
    <t xml:space="preserve">Annex 3</t>
  </si>
  <si>
    <t xml:space="preserve">Less common for en-route.</t>
  </si>
  <si>
    <t xml:space="preserve">T0091</t>
  </si>
  <si>
    <t xml:space="preserve">Standard pressure 1013.25 hPa used for flight levels.</t>
  </si>
  <si>
    <t xml:space="preserve">QNE / áp suất chuẩn</t>
  </si>
  <si>
    <t xml:space="preserve">Above TL.</t>
  </si>
  <si>
    <t xml:space="preserve">T0092</t>
  </si>
  <si>
    <t xml:space="preserve">Minimum Safe Altitude</t>
  </si>
  <si>
    <t xml:space="preserve">MSA</t>
  </si>
  <si>
    <t xml:space="preserve">Altitude providing 1 000 ft (2 000 ft mountainous) clearance within 25 NM of a navaid/ARP as published.</t>
  </si>
  <si>
    <t xml:space="preserve">Độ cao an toàn tối thiểu</t>
  </si>
  <si>
    <t xml:space="preserve">Emergency / lost comms.</t>
  </si>
  <si>
    <t xml:space="preserve">MEA</t>
  </si>
  <si>
    <t xml:space="preserve">T0093</t>
  </si>
  <si>
    <t xml:space="preserve">Minimum En-route Altitude</t>
  </si>
  <si>
    <t xml:space="preserve">Lowest published altitude between radio fixes which assures acceptable navigational signal coverage and meets obstacle clearance.</t>
  </si>
  <si>
    <t xml:space="preserve">Độ cao đường bay tối thiểu</t>
  </si>
  <si>
    <t xml:space="preserve">IFR en-route.</t>
  </si>
  <si>
    <t xml:space="preserve">MOCA</t>
  </si>
  <si>
    <t xml:space="preserve">T0094</t>
  </si>
  <si>
    <t xml:space="preserve">Minimum Obstacle Clearance Altitude</t>
  </si>
  <si>
    <t xml:space="preserve">Lowest published altitude between fixes that meets obstacle clearance (signal coverage not assured).</t>
  </si>
  <si>
    <t xml:space="preserve">Độ cao vượt chướng ngại tối thiểu</t>
  </si>
  <si>
    <t xml:space="preserve">Emergency use.</t>
  </si>
  <si>
    <t xml:space="preserve">T0095</t>
  </si>
  <si>
    <t xml:space="preserve">Standard words and phrases prescribed for radiotelephony.</t>
  </si>
  <si>
    <t xml:space="preserve">Thuật ngữ vô tuyến chuẩn</t>
  </si>
  <si>
    <t xml:space="preserve">Doc 4444 Ch.12; Doc 9432</t>
  </si>
  <si>
    <t xml:space="preserve">Reduce ambiguity.</t>
  </si>
  <si>
    <t xml:space="preserve">T0096</t>
  </si>
  <si>
    <t xml:space="preserve">Call Sign</t>
  </si>
  <si>
    <t xml:space="preserve">Telephony designator of an aircraft, unit or station.</t>
  </si>
  <si>
    <t xml:space="preserve">Hô hiệu</t>
  </si>
  <si>
    <t xml:space="preserve">Full then abbreviated.</t>
  </si>
  <si>
    <t xml:space="preserve">R/T</t>
  </si>
  <si>
    <t xml:space="preserve">T0097</t>
  </si>
  <si>
    <t xml:space="preserve">Blind Transmission</t>
  </si>
  <si>
    <t xml:space="preserve">Transmission from one station to another in circumstances where two-way communication cannot be established but it is believed the called station is able to receive.</t>
  </si>
  <si>
    <t xml:space="preserve">Phát một chiều</t>
  </si>
  <si>
    <t xml:space="preserve">RCF procedures.</t>
  </si>
  <si>
    <t xml:space="preserve">T0098</t>
  </si>
  <si>
    <t xml:space="preserve">Flight Information Region</t>
  </si>
  <si>
    <t xml:space="preserve">Airspace</t>
  </si>
  <si>
    <t xml:space="preserve">Structure</t>
  </si>
  <si>
    <t xml:space="preserve">Airspace of defined dimensions within which FIS and ALRS are provided.</t>
  </si>
  <si>
    <t xml:space="preserve">Vùng thông báo bay</t>
  </si>
  <si>
    <t xml:space="preserve">VVTS Ho Chi Minh FIR; VVNB Ha Noi FIR.</t>
  </si>
  <si>
    <t xml:space="preserve">T0099</t>
  </si>
  <si>
    <t xml:space="preserve">Upper Flight Information Region</t>
  </si>
  <si>
    <t xml:space="preserve">UIR</t>
  </si>
  <si>
    <t xml:space="preserve">Upper portion of FIR when vertically split.</t>
  </si>
  <si>
    <t xml:space="preserve">Vùng thông báo bay trên</t>
  </si>
  <si>
    <t xml:space="preserve">Not always designated in VN.</t>
  </si>
  <si>
    <t xml:space="preserve">T0100</t>
  </si>
  <si>
    <t xml:space="preserve">Control Area</t>
  </si>
  <si>
    <t xml:space="preserve">CTA</t>
  </si>
  <si>
    <t xml:space="preserve">Controlled airspace extending upwards from a specified limit above the earth.</t>
  </si>
  <si>
    <t xml:space="preserve">Vùng kiểm soát</t>
  </si>
  <si>
    <t xml:space="preserve">Usually from a base altitude/FL to unlimited or UTA.</t>
  </si>
  <si>
    <t xml:space="preserve">T0101</t>
  </si>
  <si>
    <t xml:space="preserve">Upper Control Area</t>
  </si>
  <si>
    <t xml:space="preserve">UTA</t>
  </si>
  <si>
    <t xml:space="preserve">Control area in the upper airspace.</t>
  </si>
  <si>
    <t xml:space="preserve">Vùng kiểm soát trên</t>
  </si>
  <si>
    <t xml:space="preserve">Often FL245/FL195+.</t>
  </si>
  <si>
    <t xml:space="preserve">T0102</t>
  </si>
  <si>
    <t xml:space="preserve">Control Zone</t>
  </si>
  <si>
    <t xml:space="preserve">CTR</t>
  </si>
  <si>
    <t xml:space="preserve">Controlled airspace extending upwards from the surface to a specified upper limit.</t>
  </si>
  <si>
    <t xml:space="preserve">Khu vực kiểm soát sân bay</t>
  </si>
  <si>
    <t xml:space="preserve">Protects IFR in/out.</t>
  </si>
  <si>
    <t xml:space="preserve">TWR; APP</t>
  </si>
  <si>
    <t xml:space="preserve">T0103</t>
  </si>
  <si>
    <t xml:space="preserve">Aerodrome Traffic Zone</t>
  </si>
  <si>
    <t xml:space="preserve">Airspace of defined dimensions established around an aerodrome for protection of aerodrome traffic.</t>
  </si>
  <si>
    <t xml:space="preserve">Khu vực giao thông sân bay</t>
  </si>
  <si>
    <t xml:space="preserve">Annex 2 / national</t>
  </si>
  <si>
    <t xml:space="preserve">Often 2–2.5 NM / 2000 ft AAL.</t>
  </si>
  <si>
    <t xml:space="preserve">T0104</t>
  </si>
  <si>
    <t xml:space="preserve">Terminal Control Area</t>
  </si>
  <si>
    <t xml:space="preserve">Control area normally established at the confluence of ATS routes in the vicinity of one or more major aerodromes.</t>
  </si>
  <si>
    <t xml:space="preserve">Vùng kiểm soát tiếp cận</t>
  </si>
  <si>
    <t xml:space="preserve">APP jurisdiction.</t>
  </si>
  <si>
    <t xml:space="preserve">T0105</t>
  </si>
  <si>
    <t xml:space="preserve">ATS Route</t>
  </si>
  <si>
    <t xml:space="preserve">Route</t>
  </si>
  <si>
    <t xml:space="preserve">Specified route designed for channelling the flow of traffic as necessary for the provision of ATS.</t>
  </si>
  <si>
    <t xml:space="preserve">Đường hàng không ATS</t>
  </si>
  <si>
    <t xml:space="preserve">Designators A/B/G/R/U/UL etc.</t>
  </si>
  <si>
    <t xml:space="preserve">T0106</t>
  </si>
  <si>
    <t xml:space="preserve">Airway</t>
  </si>
  <si>
    <t xml:space="preserve">Control area or portion thereof established in the form of a corridor.</t>
  </si>
  <si>
    <t xml:space="preserve">Đường hàng không</t>
  </si>
  <si>
    <t xml:space="preserve">Often 10 NM wide classically.</t>
  </si>
  <si>
    <t xml:space="preserve">ATS route</t>
  </si>
  <si>
    <t xml:space="preserve">T0107</t>
  </si>
  <si>
    <t xml:space="preserve">Advisory Route</t>
  </si>
  <si>
    <t xml:space="preserve">ADR</t>
  </si>
  <si>
    <t xml:space="preserve">A designated route along which air traffic advisory service is available.</t>
  </si>
  <si>
    <t xml:space="preserve">Đường tư vấn</t>
  </si>
  <si>
    <t xml:space="preserve">Advisory service</t>
  </si>
  <si>
    <t xml:space="preserve">T0108</t>
  </si>
  <si>
    <t xml:space="preserve">RNAV Route</t>
  </si>
  <si>
    <t xml:space="preserve">ATS route established for the use of aircraft capable of employing area navigation.</t>
  </si>
  <si>
    <t xml:space="preserve">Đường bay RNAV</t>
  </si>
  <si>
    <t xml:space="preserve">Doc 9613</t>
  </si>
  <si>
    <t xml:space="preserve">Waypoint defined.</t>
  </si>
  <si>
    <t xml:space="preserve">PBN</t>
  </si>
  <si>
    <t xml:space="preserve">T0109</t>
  </si>
  <si>
    <t xml:space="preserve">Conditional Route</t>
  </si>
  <si>
    <t xml:space="preserve">CDR</t>
  </si>
  <si>
    <t xml:space="preserve">ASM</t>
  </si>
  <si>
    <t xml:space="preserve">ATS route that is only available under specified conditions (time, level, military activity).</t>
  </si>
  <si>
    <t xml:space="preserve">Đường bay có điều kiện</t>
  </si>
  <si>
    <t xml:space="preserve">Eurocontrol ASM</t>
  </si>
  <si>
    <t xml:space="preserve">CDR1/2/3 categories.</t>
  </si>
  <si>
    <t xml:space="preserve">FUA</t>
  </si>
  <si>
    <t xml:space="preserve">T0110</t>
  </si>
  <si>
    <t xml:space="preserve">Flexible Use of Airspace</t>
  </si>
  <si>
    <t xml:space="preserve">Airspace management concept whereby airspace is no longer designated as purely civil or military, but considered as one continuum.</t>
  </si>
  <si>
    <t xml:space="preserve">Sử dụng không phận linh hoạt</t>
  </si>
  <si>
    <t xml:space="preserve">Doc 10088 / Eurocontrol</t>
  </si>
  <si>
    <t xml:space="preserve">ASM Level 1–3.</t>
  </si>
  <si>
    <t xml:space="preserve">AUP; UUP</t>
  </si>
  <si>
    <t xml:space="preserve">T0111</t>
  </si>
  <si>
    <t xml:space="preserve">Airspace Management</t>
  </si>
  <si>
    <t xml:space="preserve">Planning function with the primary objective of maximizing utilization of available airspace by dynamic time-sharing and, at times, segregation of airspace among various categories of users.</t>
  </si>
  <si>
    <t xml:space="preserve">Quản lý vùng trời</t>
  </si>
  <si>
    <t xml:space="preserve">Strategic / pre-tactical / tactical.</t>
  </si>
  <si>
    <t xml:space="preserve">T0112</t>
  </si>
  <si>
    <t xml:space="preserve">Air Traffic Flow Management</t>
  </si>
  <si>
    <t xml:space="preserve">Service established with the objective of contributing to a safe, orderly and expeditious flow of air traffic by ensuring that ATC capacity is utilized to the maximum and traffic volume is compatible with capacities declared.</t>
  </si>
  <si>
    <t xml:space="preserve">Quản lý luồng không lưu</t>
  </si>
  <si>
    <t xml:space="preserve">CTOT, regulations.</t>
  </si>
  <si>
    <t xml:space="preserve">ACC capacity</t>
  </si>
  <si>
    <t xml:space="preserve">T0113</t>
  </si>
  <si>
    <t xml:space="preserve">Airspace Reservation</t>
  </si>
  <si>
    <t xml:space="preserve">Defined volume of airspace temporarily reserved for exclusive or specific use.</t>
  </si>
  <si>
    <t xml:space="preserve">Vùng trời dành riêng</t>
  </si>
  <si>
    <t xml:space="preserve">ASM handbooks</t>
  </si>
  <si>
    <t xml:space="preserve">Military exercise.</t>
  </si>
  <si>
    <t xml:space="preserve">D</t>
  </si>
  <si>
    <t xml:space="preserve">T0114</t>
  </si>
  <si>
    <t xml:space="preserve">Danger Area</t>
  </si>
  <si>
    <t xml:space="preserve">SUA</t>
  </si>
  <si>
    <t xml:space="preserve">Airspace of defined dimensions within which activities dangerous to the flight of aircraft may exist at specified times.</t>
  </si>
  <si>
    <t xml:space="preserve">Vùng nguy hiểm</t>
  </si>
  <si>
    <t xml:space="preserve">Annex 15 / Annex 2</t>
  </si>
  <si>
    <t xml:space="preserve">e.g. VVD…</t>
  </si>
  <si>
    <t xml:space="preserve">NOTAM</t>
  </si>
  <si>
    <t xml:space="preserve">T0115</t>
  </si>
  <si>
    <t xml:space="preserve">Restricted Area</t>
  </si>
  <si>
    <t xml:space="preserve">R</t>
  </si>
  <si>
    <t xml:space="preserve">Airspace of defined dimensions, above the land areas or territorial waters of a State, within which the flight of aircraft is restricted in accordance with certain specified conditions.</t>
  </si>
  <si>
    <t xml:space="preserve">Vùng hạn chế</t>
  </si>
  <si>
    <t xml:space="preserve">Need permission.</t>
  </si>
  <si>
    <t xml:space="preserve">T0116</t>
  </si>
  <si>
    <t xml:space="preserve">Prohibited Area</t>
  </si>
  <si>
    <t xml:space="preserve">P</t>
  </si>
  <si>
    <t xml:space="preserve">Airspace of defined dimensions, above the land areas or territorial waters of a State, within which the flight of aircraft is prohibited.</t>
  </si>
  <si>
    <t xml:space="preserve">Vùng cấm</t>
  </si>
  <si>
    <t xml:space="preserve">No transit.</t>
  </si>
  <si>
    <t xml:space="preserve">T0117</t>
  </si>
  <si>
    <t xml:space="preserve">Temporary Reserved Area</t>
  </si>
  <si>
    <t xml:space="preserve">TRA</t>
  </si>
  <si>
    <t xml:space="preserve">Airspace temporarily reserved for particular activity.</t>
  </si>
  <si>
    <t xml:space="preserve">Vùng dành riêng tạm thời</t>
  </si>
  <si>
    <t xml:space="preserve">Published by AUP.</t>
  </si>
  <si>
    <t xml:space="preserve">AUP</t>
  </si>
  <si>
    <t xml:space="preserve">T0118</t>
  </si>
  <si>
    <t xml:space="preserve">Temporary Segregated Area</t>
  </si>
  <si>
    <t xml:space="preserve">TSA</t>
  </si>
  <si>
    <t xml:space="preserve">Airspace temporarily segregated for exclusive use of specific users.</t>
  </si>
  <si>
    <t xml:space="preserve">Vùng tách biệt tạm thời</t>
  </si>
  <si>
    <t xml:space="preserve">Military.</t>
  </si>
  <si>
    <t xml:space="preserve">T0119</t>
  </si>
  <si>
    <t xml:space="preserve">Airspace Use Plan</t>
  </si>
  <si>
    <t xml:space="preserve">ASM message of consolidated airspace allocations for D-1.</t>
  </si>
  <si>
    <t xml:space="preserve">Kế hoạch sử dụng vùng trời</t>
  </si>
  <si>
    <t xml:space="preserve">Eurocontrol NM</t>
  </si>
  <si>
    <t xml:space="preserve">Pre-tactical.</t>
  </si>
  <si>
    <t xml:space="preserve">UUP</t>
  </si>
  <si>
    <t xml:space="preserve">T0120</t>
  </si>
  <si>
    <t xml:space="preserve">Updated Airspace Use Plan</t>
  </si>
  <si>
    <t xml:space="preserve">Update to AUP on the day of operations.</t>
  </si>
  <si>
    <t xml:space="preserve">Kế hoạch sử dụng vùng trời cập nhật</t>
  </si>
  <si>
    <t xml:space="preserve">Tactical ASM.</t>
  </si>
  <si>
    <t xml:space="preserve">T0121</t>
  </si>
  <si>
    <t xml:space="preserve">Airspace Classification</t>
  </si>
  <si>
    <t xml:space="preserve">Class</t>
  </si>
  <si>
    <t xml:space="preserve">ICAO Classes A–G specifying ATS provided and flight rules.</t>
  </si>
  <si>
    <t xml:space="preserve">Phân loại vùng trời</t>
  </si>
  <si>
    <t xml:space="preserve">Annex 11 App.4</t>
  </si>
  <si>
    <t xml:space="preserve">VN AIP ENR 1.4.</t>
  </si>
  <si>
    <t xml:space="preserve">IFR; VFR</t>
  </si>
  <si>
    <t xml:space="preserve">T0122</t>
  </si>
  <si>
    <t xml:space="preserve">Class A Airspace</t>
  </si>
  <si>
    <t xml:space="preserve">A</t>
  </si>
  <si>
    <t xml:space="preserve">IFR only; all flights ATC separated.</t>
  </si>
  <si>
    <t xml:space="preserve">Vùng trời hạng A</t>
  </si>
  <si>
    <t xml:space="preserve">Typically upper airspace.</t>
  </si>
  <si>
    <t xml:space="preserve">T0123</t>
  </si>
  <si>
    <t xml:space="preserve">Class C Airspace</t>
  </si>
  <si>
    <t xml:space="preserve">C</t>
  </si>
  <si>
    <t xml:space="preserve">IFR and VFR; IFR separated from IFR and VFR; VFR receive traffic info on VFR.</t>
  </si>
  <si>
    <t xml:space="preserve">Vùng trời hạng C</t>
  </si>
  <si>
    <t xml:space="preserve">Common TMA/CTR.</t>
  </si>
  <si>
    <t xml:space="preserve">T0124</t>
  </si>
  <si>
    <t xml:space="preserve">Class D Airspace</t>
  </si>
  <si>
    <t xml:space="preserve">IFR and VFR; IFR separated from IFR; traffic info between IFR and VFR.</t>
  </si>
  <si>
    <t xml:space="preserve">Vùng trời hạng D</t>
  </si>
  <si>
    <t xml:space="preserve">Many CTRs.</t>
  </si>
  <si>
    <t xml:space="preserve">T0125</t>
  </si>
  <si>
    <t xml:space="preserve">Class E Airspace</t>
  </si>
  <si>
    <t xml:space="preserve">E</t>
  </si>
  <si>
    <t xml:space="preserve">IFR and VFR; IFR separated from IFR; VFR not subject to ATC clearance.</t>
  </si>
  <si>
    <t xml:space="preserve">Vùng trời hạng E</t>
  </si>
  <si>
    <t xml:space="preserve">Lower en-route in some States.</t>
  </si>
  <si>
    <t xml:space="preserve">T0126</t>
  </si>
  <si>
    <t xml:space="preserve">Class G Airspace</t>
  </si>
  <si>
    <t xml:space="preserve">G</t>
  </si>
  <si>
    <t xml:space="preserve">IFR and VFR permitted; FIS if requested/possible; no ATC clearance.</t>
  </si>
  <si>
    <t xml:space="preserve">Vùng trời hạng G</t>
  </si>
  <si>
    <t xml:space="preserve">Uncontrolled.</t>
  </si>
  <si>
    <t xml:space="preserve">T0127</t>
  </si>
  <si>
    <t xml:space="preserve">Free Route Airspace</t>
  </si>
  <si>
    <t xml:space="preserve">FRA</t>
  </si>
  <si>
    <t xml:space="preserve">Airspace within which users may freely plan a route between a defined entry and exit point, with or without intermediate waypoints.</t>
  </si>
  <si>
    <t xml:space="preserve">Vùng trời đường bay tự do</t>
  </si>
  <si>
    <t xml:space="preserve">Eurocontrol FRA</t>
  </si>
  <si>
    <t xml:space="preserve">DCT within FRA.</t>
  </si>
  <si>
    <t xml:space="preserve">T0128</t>
  </si>
  <si>
    <t xml:space="preserve">Performance-Based Navigation</t>
  </si>
  <si>
    <t xml:space="preserve">Area navigation based on performance requirements for aircraft operating along an ATS route, on an instrument approach procedure or in a designated airspace.</t>
  </si>
  <si>
    <t xml:space="preserve">Dẫn đường dựa trên hiệu năng</t>
  </si>
  <si>
    <t xml:space="preserve">RNAV and RNP specs.</t>
  </si>
  <si>
    <t xml:space="preserve">RNP; RNAV</t>
  </si>
  <si>
    <t xml:space="preserve">T0129</t>
  </si>
  <si>
    <t xml:space="preserve">Area Navigation</t>
  </si>
  <si>
    <t xml:space="preserve">Navigation method which permits aircraft operation on any desired flight path within coverage of station-referenced navaids or within limits of self-contained aids, or a combination.</t>
  </si>
  <si>
    <t xml:space="preserve">Dẫn đường vùng</t>
  </si>
  <si>
    <t xml:space="preserve">RNAV 5 / RNAV 1.</t>
  </si>
  <si>
    <t xml:space="preserve">T0130</t>
  </si>
  <si>
    <t xml:space="preserve">Required Navigation Performance</t>
  </si>
  <si>
    <t xml:space="preserve">RNP</t>
  </si>
  <si>
    <t xml:space="preserve">RNAV specification that includes onboard performance monitoring and alerting.</t>
  </si>
  <si>
    <t xml:space="preserve">Hiệu năng dẫn đường yêu cầu</t>
  </si>
  <si>
    <t xml:space="preserve">RNP 4, RNP 1, RNP APCH.</t>
  </si>
  <si>
    <t xml:space="preserve">Onboard alerting</t>
  </si>
  <si>
    <t xml:space="preserve">T0131</t>
  </si>
  <si>
    <t xml:space="preserve">RNP APCH</t>
  </si>
  <si>
    <t xml:space="preserve">RNP approach specification including LNAV, LNAV/VNAV, LP, LPV minima as applicable.</t>
  </si>
  <si>
    <t xml:space="preserve">Tiếp cận RNP</t>
  </si>
  <si>
    <t xml:space="preserve">Doc 9613 / Doc 8168</t>
  </si>
  <si>
    <t xml:space="preserve">Baro-VNAV or SBAS.</t>
  </si>
  <si>
    <t xml:space="preserve">LNAV; LPV</t>
  </si>
  <si>
    <t xml:space="preserve">T0132</t>
  </si>
  <si>
    <t xml:space="preserve">RNP AR APCH</t>
  </si>
  <si>
    <t xml:space="preserve">RNP AR</t>
  </si>
  <si>
    <t xml:space="preserve">Authorization Required RNP approach with tighter accuracy and RF legs.</t>
  </si>
  <si>
    <t xml:space="preserve">Tiếp cận RNP cần cấp phép</t>
  </si>
  <si>
    <t xml:space="preserve">Doc 9613 / Doc 9905</t>
  </si>
  <si>
    <t xml:space="preserve">Special authorization.</t>
  </si>
  <si>
    <t xml:space="preserve">RF leg</t>
  </si>
  <si>
    <t xml:space="preserve">T0133</t>
  </si>
  <si>
    <t xml:space="preserve">Reduced Lateral Separation</t>
  </si>
  <si>
    <t xml:space="preserve">Application of PBN-based lateral minima less than classical 50/30 NM.</t>
  </si>
  <si>
    <t xml:space="preserve">Giãn cách ngang giảm</t>
  </si>
  <si>
    <t xml:space="preserve">RNP 4 / RNP 2 oceanic.</t>
  </si>
  <si>
    <t xml:space="preserve">T0134</t>
  </si>
  <si>
    <t xml:space="preserve">Flight Level Orientation Scheme</t>
  </si>
  <si>
    <t xml:space="preserve">FLOS</t>
  </si>
  <si>
    <t xml:space="preserve">Assignment of flight levels by direction of flight (East odd / West even or SEMI-CIRCULAR).</t>
  </si>
  <si>
    <t xml:space="preserve">Sơ đồ hướng mực bay</t>
  </si>
  <si>
    <t xml:space="preserve">Annex 2 App.3</t>
  </si>
  <si>
    <t xml:space="preserve">Table of cruising levels.</t>
  </si>
  <si>
    <t xml:space="preserve">T0135</t>
  </si>
  <si>
    <t xml:space="preserve">Semi-circular Rule</t>
  </si>
  <si>
    <t xml:space="preserve">Odd/even FL assignment by magnetic track.</t>
  </si>
  <si>
    <t xml:space="preserve">Quy tắc bán nguyệt</t>
  </si>
  <si>
    <t xml:space="preserve">000–179 odd IFR in many regions.</t>
  </si>
  <si>
    <t xml:space="preserve">T0136</t>
  </si>
  <si>
    <t xml:space="preserve">Aeronautical Information Service</t>
  </si>
  <si>
    <t xml:space="preserve">AIS</t>
  </si>
  <si>
    <t xml:space="preserve">Service established for the provision of aeronautical information/data necessary for the safety, regularity and efficiency of air navigation.</t>
  </si>
  <si>
    <t xml:space="preserve">Dịch vụ thông tin hàng không</t>
  </si>
  <si>
    <t xml:space="preserve">Annex 15</t>
  </si>
  <si>
    <t xml:space="preserve">AIP, NOTAM, AIC, PIB.</t>
  </si>
  <si>
    <t xml:space="preserve">AIM</t>
  </si>
  <si>
    <t xml:space="preserve">T0137</t>
  </si>
  <si>
    <t xml:space="preserve">Aeronautical Information Management</t>
  </si>
  <si>
    <t xml:space="preserve">Dynamic, integrated management of aeronautical information through provision and exchange of quality-assured digital aeronautical data.</t>
  </si>
  <si>
    <t xml:space="preserve">Quản lý thông tin hàng không</t>
  </si>
  <si>
    <t xml:space="preserve">Doc 8126 / Annex 15</t>
  </si>
  <si>
    <t xml:space="preserve">AIXM; digital AIP.</t>
  </si>
  <si>
    <t xml:space="preserve">SWIM</t>
  </si>
  <si>
    <t xml:space="preserve">T0138</t>
  </si>
  <si>
    <t xml:space="preserve">Aeronautical Information Publication</t>
  </si>
  <si>
    <t xml:space="preserve">AIP</t>
  </si>
  <si>
    <t xml:space="preserve">Product</t>
  </si>
  <si>
    <t xml:space="preserve">Publication issued by or with the authority of a State and containing aeronautical information of a lasting character essential to air navigation.</t>
  </si>
  <si>
    <t xml:space="preserve">Tập thông báo tin tức hàng không</t>
  </si>
  <si>
    <t xml:space="preserve">GEN / ENR / AD.</t>
  </si>
  <si>
    <t xml:space="preserve">eAIP</t>
  </si>
  <si>
    <t xml:space="preserve">T0139</t>
  </si>
  <si>
    <t xml:space="preserve">AIP provided in electronic form.</t>
  </si>
  <si>
    <t xml:space="preserve">AIP điện tử</t>
  </si>
  <si>
    <t xml:space="preserve">Annex 15 / Doc 8126</t>
  </si>
  <si>
    <t xml:space="preserve">HTML/PDF + AIXM.</t>
  </si>
  <si>
    <t xml:space="preserve">AIXM</t>
  </si>
  <si>
    <t xml:space="preserve">T0140</t>
  </si>
  <si>
    <t xml:space="preserve">AIP Amendment</t>
  </si>
  <si>
    <t xml:space="preserve">AMDT</t>
  </si>
  <si>
    <t xml:space="preserve">Permanent changes to the AIP.</t>
  </si>
  <si>
    <t xml:space="preserve">Sửa đổi AIP</t>
  </si>
  <si>
    <t xml:space="preserve">AIRAC or normal.</t>
  </si>
  <si>
    <t xml:space="preserve">AIRAC</t>
  </si>
  <si>
    <t xml:space="preserve">T0141</t>
  </si>
  <si>
    <t xml:space="preserve">AIP Supplement</t>
  </si>
  <si>
    <t xml:space="preserve">SUP</t>
  </si>
  <si>
    <t xml:space="preserve">Temporary changes of long duration (3 months or more) or information of short duration containing extensive text/graphics.</t>
  </si>
  <si>
    <t xml:space="preserve">Bổ sung AIP</t>
  </si>
  <si>
    <t xml:space="preserve">Temporary procedures.</t>
  </si>
  <si>
    <t xml:space="preserve">T0142</t>
  </si>
  <si>
    <t xml:space="preserve">Aeronautical Information Circular</t>
  </si>
  <si>
    <t xml:space="preserve">AIC</t>
  </si>
  <si>
    <t xml:space="preserve">A notice containing information that does not qualify for inclusion in AIP or NOTAM but concerns flight safety, technical, administrative or legislative matters.</t>
  </si>
  <si>
    <t xml:space="preserve">Thông tri tin tức hàng không</t>
  </si>
  <si>
    <t xml:space="preserve">Policy, charges, explanatory.</t>
  </si>
  <si>
    <t xml:space="preserve">T0143</t>
  </si>
  <si>
    <t xml:space="preserve">A notice distributed by means of telecommunication containing information concerning the establishment, condition or change in any aeronautical facility, service, procedure or hazard, the timely knowledge of which is essential to personnel concerned with flight operations.</t>
  </si>
  <si>
    <t xml:space="preserve">Điện văn NOTAM</t>
  </si>
  <si>
    <t xml:space="preserve">Q-line; Item A–G.</t>
  </si>
  <si>
    <t xml:space="preserve">SNOWTAM; ASHTAM</t>
  </si>
  <si>
    <t xml:space="preserve">T0144</t>
  </si>
  <si>
    <t xml:space="preserve">SNOWTAM</t>
  </si>
  <si>
    <t xml:space="preserve">A special series NOTAM given in a standard format providing a surface condition report notifying the presence or cessation of hazardous conditions due to snow, ice, slush, frost or water associated with snow, slush, ice or frost on the movement area.</t>
  </si>
  <si>
    <t xml:space="preserve">NOTAM tuyết / mặt đường</t>
  </si>
  <si>
    <t xml:space="preserve">Annex 15 / Doc 10066</t>
  </si>
  <si>
    <t xml:space="preserve">GRF / RCC.</t>
  </si>
  <si>
    <t xml:space="preserve">GRF</t>
  </si>
  <si>
    <t xml:space="preserve">T0145</t>
  </si>
  <si>
    <t xml:space="preserve">ASHTAM</t>
  </si>
  <si>
    <t xml:space="preserve">A special series NOTAM notifying by means of a specific format change in activity of a volcano, volcanic eruption and/or volcanic ash cloud.</t>
  </si>
  <si>
    <t xml:space="preserve">NOTAM tro núi lửa</t>
  </si>
  <si>
    <t xml:space="preserve">VAAC coordination.</t>
  </si>
  <si>
    <t xml:space="preserve">VA</t>
  </si>
  <si>
    <t xml:space="preserve">T0146</t>
  </si>
  <si>
    <t xml:space="preserve">Process</t>
  </si>
  <si>
    <t xml:space="preserve">Aeronautical Information Regulation And Control — system aimed at advance notification, based on common effective dates, of circumstances that necessitate significant changes in operating practices.</t>
  </si>
  <si>
    <t xml:space="preserve">Chu kỳ AIRAC</t>
  </si>
  <si>
    <t xml:space="preserve">Every 28 days; major changes +56 days.</t>
  </si>
  <si>
    <t xml:space="preserve">AIP AMDT</t>
  </si>
  <si>
    <t xml:space="preserve">T0147</t>
  </si>
  <si>
    <t xml:space="preserve">Pre-flight Information Bulletin</t>
  </si>
  <si>
    <t xml:space="preserve">PIB</t>
  </si>
  <si>
    <t xml:space="preserve">A presentation of current NOTAM information of operational significance, prepared prior to flight.</t>
  </si>
  <si>
    <t xml:space="preserve">Bản tin tin tức trước chuyến bay</t>
  </si>
  <si>
    <t xml:space="preserve">Narrow-route / area / aerodrome.</t>
  </si>
  <si>
    <t xml:space="preserve">T0148</t>
  </si>
  <si>
    <t xml:space="preserve">Aeronautical Information Exchange Model</t>
  </si>
  <si>
    <t xml:space="preserve">Data</t>
  </si>
  <si>
    <t xml:space="preserve">XML model for aeronautical information.</t>
  </si>
  <si>
    <t xml:space="preserve">Mô hình trao đổi tin tức hàng không</t>
  </si>
  <si>
    <t xml:space="preserve">Eurocontrol / FAA</t>
  </si>
  <si>
    <t xml:space="preserve">AIXM 5.1.1 common.</t>
  </si>
  <si>
    <t xml:space="preserve">T0149</t>
  </si>
  <si>
    <t xml:space="preserve">System Wide Information Management</t>
  </si>
  <si>
    <t xml:space="preserve">Global concept for standardized information exchange in ATM.</t>
  </si>
  <si>
    <t xml:space="preserve">Quản lý thông tin trên toàn hệ thống</t>
  </si>
  <si>
    <t xml:space="preserve">Doc 10039</t>
  </si>
  <si>
    <t xml:space="preserve">FF-ICE, digital NOTAM.</t>
  </si>
  <si>
    <t xml:space="preserve">T0150</t>
  </si>
  <si>
    <t xml:space="preserve">Digital NOTAM</t>
  </si>
  <si>
    <t xml:space="preserve">NOTAM encoded as AIXM temporality events rather than free text only.</t>
  </si>
  <si>
    <t xml:space="preserve">NOTAM số</t>
  </si>
  <si>
    <t xml:space="preserve">SWIM / Annex 15</t>
  </si>
  <si>
    <t xml:space="preserve">Machine-readable.</t>
  </si>
  <si>
    <t xml:space="preserve">T0151</t>
  </si>
  <si>
    <t xml:space="preserve">Integrated Aeronautical Information Package</t>
  </si>
  <si>
    <t xml:space="preserve">IAIP</t>
  </si>
  <si>
    <t xml:space="preserve">Package of AIP + AMDT + SUP + NOTAM + PIB + AIC + checklists.</t>
  </si>
  <si>
    <t xml:space="preserve">Bộ tin tức hàng không tích hợp</t>
  </si>
  <si>
    <t xml:space="preserve">AIS output set.</t>
  </si>
  <si>
    <t xml:space="preserve">T0152</t>
  </si>
  <si>
    <t xml:space="preserve">Flight Plan</t>
  </si>
  <si>
    <t xml:space="preserve">Specified information provided to ATS units, relative to an intended flight or portion of a flight of an aircraft.</t>
  </si>
  <si>
    <t xml:space="preserve">Kế hoạch bay</t>
  </si>
  <si>
    <t xml:space="preserve">ICAO 2012 format still baseline; FF-ICE emerging.</t>
  </si>
  <si>
    <t xml:space="preserve">RPL</t>
  </si>
  <si>
    <t xml:space="preserve">T0153</t>
  </si>
  <si>
    <t xml:space="preserve">Repetitive Flight Plan</t>
  </si>
  <si>
    <t xml:space="preserve">Flight plan related to a series of frequently recurring, regularly operated individual flights with identical basic features, submitted by an operator for retention and repetitive use by ATS units.</t>
  </si>
  <si>
    <t xml:space="preserve">Kế hoạch bay lặp</t>
  </si>
  <si>
    <t xml:space="preserve">Seasonal schedules.</t>
  </si>
  <si>
    <t xml:space="preserve">T0154</t>
  </si>
  <si>
    <t xml:space="preserve">Filed Flight Plan</t>
  </si>
  <si>
    <t xml:space="preserve">The flight plan as filed with an ATS unit by the pilot or a designated representative, without any subsequent changes.</t>
  </si>
  <si>
    <t xml:space="preserve">Kế hoạch bay đã nộp</t>
  </si>
  <si>
    <t xml:space="preserve">Message type FPL.</t>
  </si>
  <si>
    <t xml:space="preserve">CHG</t>
  </si>
  <si>
    <t xml:space="preserve">T0155</t>
  </si>
  <si>
    <t xml:space="preserve">Current Flight Plan</t>
  </si>
  <si>
    <t xml:space="preserve">CPL</t>
  </si>
  <si>
    <t xml:space="preserve">The flight plan, including changes if any, brought about by subsequent clearances.</t>
  </si>
  <si>
    <t xml:space="preserve">Kế hoạch bay hiện hành</t>
  </si>
  <si>
    <t xml:space="preserve">What ATC works from.</t>
  </si>
  <si>
    <t xml:space="preserve">T0156</t>
  </si>
  <si>
    <t xml:space="preserve">ATS Message FPL</t>
  </si>
  <si>
    <t xml:space="preserve">Message</t>
  </si>
  <si>
    <t xml:space="preserve">Filed flight plan message.</t>
  </si>
  <si>
    <t xml:space="preserve">Điện văn FPL</t>
  </si>
  <si>
    <t xml:space="preserve">Doc 4444 App.3</t>
  </si>
  <si>
    <t xml:space="preserve">AFTN / AMHS.</t>
  </si>
  <si>
    <t xml:space="preserve">DEP; ARR</t>
  </si>
  <si>
    <t xml:space="preserve">T0157</t>
  </si>
  <si>
    <t xml:space="preserve">Modification Message</t>
  </si>
  <si>
    <t xml:space="preserve">Message submitted to modify a filed FPL.</t>
  </si>
  <si>
    <t xml:space="preserve">Điện văn sửa FPL</t>
  </si>
  <si>
    <t xml:space="preserve">Before departure usually.</t>
  </si>
  <si>
    <t xml:space="preserve">T0158</t>
  </si>
  <si>
    <t xml:space="preserve">Cancellation Message</t>
  </si>
  <si>
    <t xml:space="preserve">CNL</t>
  </si>
  <si>
    <t xml:space="preserve">Message cancelling a filed FPL.</t>
  </si>
  <si>
    <t xml:space="preserve">Điện văn hủy FPL</t>
  </si>
  <si>
    <t xml:space="preserve">Flight will not operate.</t>
  </si>
  <si>
    <t xml:space="preserve">T0159</t>
  </si>
  <si>
    <t xml:space="preserve">Delay Message</t>
  </si>
  <si>
    <t xml:space="preserve">DLA</t>
  </si>
  <si>
    <t xml:space="preserve">Message notifying delay of EOBT.</t>
  </si>
  <si>
    <t xml:space="preserve">Điện văn chậm</t>
  </si>
  <si>
    <t xml:space="preserve">Update slot / estimates.</t>
  </si>
  <si>
    <t xml:space="preserve">EOBT</t>
  </si>
  <si>
    <t xml:space="preserve">T0160</t>
  </si>
  <si>
    <t xml:space="preserve">Departure Message</t>
  </si>
  <si>
    <t xml:space="preserve">Message notifying actual departure.</t>
  </si>
  <si>
    <t xml:space="preserve">Điện văn khởi hành</t>
  </si>
  <si>
    <t xml:space="preserve">ATD.</t>
  </si>
  <si>
    <t xml:space="preserve">T0161</t>
  </si>
  <si>
    <t xml:space="preserve">Arrival Message</t>
  </si>
  <si>
    <t xml:space="preserve">Message notifying arrival.</t>
  </si>
  <si>
    <t xml:space="preserve">Điện văn đến</t>
  </si>
  <si>
    <t xml:space="preserve">ATA.</t>
  </si>
  <si>
    <t xml:space="preserve">T0162</t>
  </si>
  <si>
    <t xml:space="preserve">Alerting Message</t>
  </si>
  <si>
    <t xml:space="preserve">ALR</t>
  </si>
  <si>
    <t xml:space="preserve">ATS emergency message for INCERFA/ALERFA/DETRESFA.</t>
  </si>
  <si>
    <t xml:space="preserve">Điện văn báo động</t>
  </si>
  <si>
    <t xml:space="preserve">SAR trigger.</t>
  </si>
  <si>
    <t xml:space="preserve">T0163</t>
  </si>
  <si>
    <t xml:space="preserve">Radio Failure Message</t>
  </si>
  <si>
    <t xml:space="preserve">ATS message concerning radiocommunication failure.</t>
  </si>
  <si>
    <t xml:space="preserve">Điện văn mất liên lạc</t>
  </si>
  <si>
    <t xml:space="preserve">With ALR as needed.</t>
  </si>
  <si>
    <t xml:space="preserve">T0164</t>
  </si>
  <si>
    <t xml:space="preserve">Estimated Off-Block Time</t>
  </si>
  <si>
    <t xml:space="preserve">Estimated time at which the aircraft will commence movement associated with departure.</t>
  </si>
  <si>
    <t xml:space="preserve">Giờ dự kiến rời vị trí đỗ</t>
  </si>
  <si>
    <t xml:space="preserve">FPL Item 13.</t>
  </si>
  <si>
    <t xml:space="preserve">T0165</t>
  </si>
  <si>
    <t xml:space="preserve">Estimated Off-Block Date</t>
  </si>
  <si>
    <t xml:space="preserve">EOBD</t>
  </si>
  <si>
    <t xml:space="preserve">Date associated with EOBT.</t>
  </si>
  <si>
    <t xml:space="preserve">Ngày dự kiến rời vị trí đỗ</t>
  </si>
  <si>
    <t xml:space="preserve">DOF/ in Item 18.</t>
  </si>
  <si>
    <t xml:space="preserve">T0166</t>
  </si>
  <si>
    <t xml:space="preserve">Item 18</t>
  </si>
  <si>
    <t xml:space="preserve">Other information field of ICAO FPL (PBN/, NAV/, COM/, DAT/, SUR/, DEP/, DEST/, DOF/, REG/, EET/, SEL/, TYP/, CODE/, DLE/, OPR/, ORGN/, PER/, ALT/N, RIF/, RMK/).</t>
  </si>
  <si>
    <t xml:space="preserve">Ô 18 kế hoạch bay</t>
  </si>
  <si>
    <t xml:space="preserve">PBN/ and SUR/ critical.</t>
  </si>
  <si>
    <t xml:space="preserve">T0167</t>
  </si>
  <si>
    <t xml:space="preserve">Aircraft Identification</t>
  </si>
  <si>
    <t xml:space="preserve">ACID</t>
  </si>
  <si>
    <t xml:space="preserve">Group of letters, figures or combination which is either identical to or the coded equivalent of the aircraft call sign.</t>
  </si>
  <si>
    <t xml:space="preserve">Nhận dạng tàu bay</t>
  </si>
  <si>
    <t xml:space="preserve">Item 7.</t>
  </si>
  <si>
    <t xml:space="preserve">Call sign</t>
  </si>
  <si>
    <t xml:space="preserve">T0168</t>
  </si>
  <si>
    <t xml:space="preserve">Wake Turbulence Category</t>
  </si>
  <si>
    <t xml:space="preserve">WTC</t>
  </si>
  <si>
    <t xml:space="preserve">J / H / M / L (and SUPER) as filed in FPL Item 9.</t>
  </si>
  <si>
    <t xml:space="preserve">Phân loại rối khí động</t>
  </si>
  <si>
    <t xml:space="preserve">Affects separation.</t>
  </si>
  <si>
    <t xml:space="preserve">T0169</t>
  </si>
  <si>
    <t xml:space="preserve">SSR Mode and Code</t>
  </si>
  <si>
    <t xml:space="preserve">Item 16/10 related surveillance capability and assigned code.</t>
  </si>
  <si>
    <t xml:space="preserve">Mode và mã SSR</t>
  </si>
  <si>
    <t xml:space="preserve">Item 10 SUR.</t>
  </si>
  <si>
    <t xml:space="preserve">T0170</t>
  </si>
  <si>
    <t xml:space="preserve">AFTN</t>
  </si>
  <si>
    <t xml:space="preserve">Aeronautical Fixed Telecommunication Network.</t>
  </si>
  <si>
    <t xml:space="preserve">Mạng viễn thông cố định hàng không</t>
  </si>
  <si>
    <t xml:space="preserve">Legacy store-and-forward.</t>
  </si>
  <si>
    <t xml:space="preserve">AMHS</t>
  </si>
  <si>
    <t xml:space="preserve">T0171</t>
  </si>
  <si>
    <t xml:space="preserve">ATS Message Handling System (ISO X.400 based).</t>
  </si>
  <si>
    <t xml:space="preserve">Hệ thống xử lý điện văn ATS</t>
  </si>
  <si>
    <t xml:space="preserve">Annex 10 Vol II/III</t>
  </si>
  <si>
    <t xml:space="preserve">Replaces AFTN.</t>
  </si>
  <si>
    <t xml:space="preserve">T0172</t>
  </si>
  <si>
    <t xml:space="preserve">ATN</t>
  </si>
  <si>
    <t xml:space="preserve">Aeronautical Telecommunication Network.</t>
  </si>
  <si>
    <t xml:space="preserve">Mạng viễn thông hàng không</t>
  </si>
  <si>
    <t xml:space="preserve">Ground-ground and air-ground.</t>
  </si>
  <si>
    <t xml:space="preserve">T0173</t>
  </si>
  <si>
    <t xml:space="preserve">OLDI</t>
  </si>
  <si>
    <t xml:space="preserve">On-Line Data Interchange between ATC units.</t>
  </si>
  <si>
    <t xml:space="preserve">Trao đổi dữ liệu trực tuyến</t>
  </si>
  <si>
    <t xml:space="preserve">Eurocontrol SPEC</t>
  </si>
  <si>
    <t xml:space="preserve">ABI, ACT, PAC, MAC, LAM.</t>
  </si>
  <si>
    <t xml:space="preserve">T0174</t>
  </si>
  <si>
    <t xml:space="preserve">ABI Message</t>
  </si>
  <si>
    <t xml:space="preserve">ABI</t>
  </si>
  <si>
    <t xml:space="preserve">Advanced Boundary Information OLDI message.</t>
  </si>
  <si>
    <t xml:space="preserve">Điện văn thông tin ranh giới trước</t>
  </si>
  <si>
    <t xml:space="preserve">Pre-activate.</t>
  </si>
  <si>
    <t xml:space="preserve">ACT</t>
  </si>
  <si>
    <t xml:space="preserve">T0175</t>
  </si>
  <si>
    <t xml:space="preserve">Activate Message</t>
  </si>
  <si>
    <t xml:space="preserve">OLDI message transferring flight data at TOC.</t>
  </si>
  <si>
    <t xml:space="preserve">Điện văn kích hoạt</t>
  </si>
  <si>
    <t xml:space="preserve">Silent transfer.</t>
  </si>
  <si>
    <t xml:space="preserve">T0176</t>
  </si>
  <si>
    <t xml:space="preserve">Meteorological Service for International Air Navigation</t>
  </si>
  <si>
    <t xml:space="preserve">MET</t>
  </si>
  <si>
    <t xml:space="preserve">Service providing meteorological information for aviation.</t>
  </si>
  <si>
    <t xml:space="preserve">Dịch vụ khí tượng hàng không</t>
  </si>
  <si>
    <t xml:space="preserve">WAFC, VAAC, TCAC, MWO, AMS.</t>
  </si>
  <si>
    <t xml:space="preserve">OPMET</t>
  </si>
  <si>
    <t xml:space="preserve">T0177</t>
  </si>
  <si>
    <t xml:space="preserve">Operational meteorological information (METAR, SPECI, TAF, SIGMET, AIRMET, AIREP, etc.).</t>
  </si>
  <si>
    <t xml:space="preserve">Tin khí tượng khai thác</t>
  </si>
  <si>
    <t xml:space="preserve">Disseminated via SADIS/WAFS.</t>
  </si>
  <si>
    <t xml:space="preserve">METAR</t>
  </si>
  <si>
    <t xml:space="preserve">T0178</t>
  </si>
  <si>
    <t xml:space="preserve">Aviation routine weather report.</t>
  </si>
  <si>
    <t xml:space="preserve">Bản tin thời tiết sân bay định kỳ</t>
  </si>
  <si>
    <t xml:space="preserve">Typically hourly.</t>
  </si>
  <si>
    <t xml:space="preserve">SPECI</t>
  </si>
  <si>
    <t xml:space="preserve">T0179</t>
  </si>
  <si>
    <t xml:space="preserve">Aviation selected special weather report issued when specified criteria are met between METARs.</t>
  </si>
  <si>
    <t xml:space="preserve">Bản tin thời tiết sân bay đặc biệt</t>
  </si>
  <si>
    <t xml:space="preserve">Vis, RVR, weather, cloud, wind.</t>
  </si>
  <si>
    <t xml:space="preserve">T0180</t>
  </si>
  <si>
    <t xml:space="preserve">TAF</t>
  </si>
  <si>
    <t xml:space="preserve">Terminal Aerodrome Forecast.</t>
  </si>
  <si>
    <t xml:space="preserve">Dự báo sân bay</t>
  </si>
  <si>
    <t xml:space="preserve">9h / 24h / 30h validity.</t>
  </si>
  <si>
    <t xml:space="preserve">FM; BECMG; TEMPO</t>
  </si>
  <si>
    <t xml:space="preserve">T0181</t>
  </si>
  <si>
    <t xml:space="preserve">SIGMET</t>
  </si>
  <si>
    <t xml:space="preserve">Information issued by a meteorological watch office concerning the occurrence or expected occurrence of specified en-route weather and other phenomena in the atmosphere that may affect the safety of aircraft operations.</t>
  </si>
  <si>
    <t xml:space="preserve">Bản tin thời tiết nguy hiểm đường bay</t>
  </si>
  <si>
    <t xml:space="preserve">TS, CAT, GR, VA, TC, SS, RDOACT CLD.</t>
  </si>
  <si>
    <t xml:space="preserve">AIRMET</t>
  </si>
  <si>
    <t xml:space="preserve">T0182</t>
  </si>
  <si>
    <t xml:space="preserve">Information issued by a MWO concerning specified en-route weather phenomena which may affect the safety of low-level aircraft operations.</t>
  </si>
  <si>
    <t xml:space="preserve">Bản tin thời tiết thấp</t>
  </si>
  <si>
    <t xml:space="preserve">Below FL100 typically.</t>
  </si>
  <si>
    <t xml:space="preserve">T0183</t>
  </si>
  <si>
    <t xml:space="preserve">GAMET</t>
  </si>
  <si>
    <t xml:space="preserve">Area forecast in abbreviated plain language for low-level flights.</t>
  </si>
  <si>
    <t xml:space="preserve">Dự báo khu vực thấp</t>
  </si>
  <si>
    <t xml:space="preserve">Used with AIRMET.</t>
  </si>
  <si>
    <t xml:space="preserve">T0184</t>
  </si>
  <si>
    <t xml:space="preserve">Volcanic Ash Advisory</t>
  </si>
  <si>
    <t xml:space="preserve">VAA</t>
  </si>
  <si>
    <t xml:space="preserve">Advisory information on volcanic ash issued by a VAAC.</t>
  </si>
  <si>
    <t xml:space="preserve">Khuyến cáo tro núi lửa</t>
  </si>
  <si>
    <t xml:space="preserve">Graphical VAG.</t>
  </si>
  <si>
    <t xml:space="preserve">VAAC</t>
  </si>
  <si>
    <t xml:space="preserve">T0185</t>
  </si>
  <si>
    <t xml:space="preserve">Tropical Cyclone Advisory</t>
  </si>
  <si>
    <t xml:space="preserve">TCA</t>
  </si>
  <si>
    <t xml:space="preserve">Advisory issued by a TCAC.</t>
  </si>
  <si>
    <t xml:space="preserve">Khuyến cáo bão nhiệt đới</t>
  </si>
  <si>
    <t xml:space="preserve">Position, forecast track.</t>
  </si>
  <si>
    <t xml:space="preserve">TCAC</t>
  </si>
  <si>
    <t xml:space="preserve">T0186</t>
  </si>
  <si>
    <t xml:space="preserve">AIREP</t>
  </si>
  <si>
    <t xml:space="preserve">Aircraft meteorological report (routine or special).</t>
  </si>
  <si>
    <t xml:space="preserve">Báo cáo khí tượng từ tàu bay</t>
  </si>
  <si>
    <t xml:space="preserve">Annex 3 / Doc 4444</t>
  </si>
  <si>
    <t xml:space="preserve">Special AIREP for severe turbulence/icing/VA.</t>
  </si>
  <si>
    <t xml:space="preserve">PIREPs</t>
  </si>
  <si>
    <t xml:space="preserve">T0187</t>
  </si>
  <si>
    <t xml:space="preserve">PIREP</t>
  </si>
  <si>
    <t xml:space="preserve">Pilot report of meteorological conditions (more common FAA term).</t>
  </si>
  <si>
    <t xml:space="preserve">Báo cáo phi công</t>
  </si>
  <si>
    <t xml:space="preserve">FAA / Annex 3</t>
  </si>
  <si>
    <t xml:space="preserve">Complements AIREP.</t>
  </si>
  <si>
    <t xml:space="preserve">T0188</t>
  </si>
  <si>
    <t xml:space="preserve">Wind Shear</t>
  </si>
  <si>
    <t xml:space="preserve">Phenomena</t>
  </si>
  <si>
    <t xml:space="preserve">Change of wind speed and/or direction in space, including updrafts and downdrafts.</t>
  </si>
  <si>
    <t xml:space="preserve">Đứt gió</t>
  </si>
  <si>
    <t xml:space="preserve">Doc 9817</t>
  </si>
  <si>
    <t xml:space="preserve">LLWAS, TDWR.</t>
  </si>
  <si>
    <t xml:space="preserve">Microburst</t>
  </si>
  <si>
    <t xml:space="preserve">T0189</t>
  </si>
  <si>
    <t xml:space="preserve">A strong localized downdraft with an outburst of damaging winds on or near the ground.</t>
  </si>
  <si>
    <t xml:space="preserve">Luồng hạ đột ngột cục bộ</t>
  </si>
  <si>
    <t xml:space="preserve">Take-off/landing critical.</t>
  </si>
  <si>
    <t xml:space="preserve">Wind shear</t>
  </si>
  <si>
    <t xml:space="preserve">T0190</t>
  </si>
  <si>
    <t xml:space="preserve">Clear Air Turbulence</t>
  </si>
  <si>
    <t xml:space="preserve">CAT</t>
  </si>
  <si>
    <t xml:space="preserve">Turbulence in clear air, typically near jet streams or mountain waves.</t>
  </si>
  <si>
    <t xml:space="preserve">Rối không khí trong</t>
  </si>
  <si>
    <t xml:space="preserve">SIGMET phenomenon.</t>
  </si>
  <si>
    <t xml:space="preserve">Jet stream</t>
  </si>
  <si>
    <t xml:space="preserve">T0191</t>
  </si>
  <si>
    <t xml:space="preserve">Cumulonimbus</t>
  </si>
  <si>
    <t xml:space="preserve">CB</t>
  </si>
  <si>
    <t xml:space="preserve">Heavy dense cloud with significant vertical extent, often thunderstorms.</t>
  </si>
  <si>
    <t xml:space="preserve">Mây vũ tích</t>
  </si>
  <si>
    <t xml:space="preserve">Avoidance policy.</t>
  </si>
  <si>
    <t xml:space="preserve">TS</t>
  </si>
  <si>
    <t xml:space="preserve">T0192</t>
  </si>
  <si>
    <t xml:space="preserve">Thunderstorm</t>
  </si>
  <si>
    <t xml:space="preserve">One or more sudden electrical discharges manifested by a flash of light (lightning) and a sharp rumbling sound (thunder).</t>
  </si>
  <si>
    <t xml:space="preserve">Giông</t>
  </si>
  <si>
    <t xml:space="preserve">TSRA, +TSRA.</t>
  </si>
  <si>
    <t xml:space="preserve">T0193</t>
  </si>
  <si>
    <t xml:space="preserve">Runway Visual Range</t>
  </si>
  <si>
    <t xml:space="preserve">RVR</t>
  </si>
  <si>
    <t xml:space="preserve">Visibility</t>
  </si>
  <si>
    <t xml:space="preserve">Range over which the pilot of an aircraft on the centre line of a runway can see the runway surface markings or the lights delineating the runway or identifying its centre line.</t>
  </si>
  <si>
    <t xml:space="preserve">Tầm nhìn đường CHC</t>
  </si>
  <si>
    <t xml:space="preserve">Annex 3 / Annex 14</t>
  </si>
  <si>
    <t xml:space="preserve">Touchdown / mid / rollout.</t>
  </si>
  <si>
    <t xml:space="preserve">T0194</t>
  </si>
  <si>
    <t xml:space="preserve">Prevailing Visibility</t>
  </si>
  <si>
    <t xml:space="preserve">The greatest visibility value, observed in accordance with the definition of visibility, which is reached within at least half the horizon circle or within at least half of the surface of the aerodrome.</t>
  </si>
  <si>
    <t xml:space="preserve">Tầm nhìn thịnh hành</t>
  </si>
  <si>
    <t xml:space="preserve">METAR VIS group.</t>
  </si>
  <si>
    <t xml:space="preserve">T0195</t>
  </si>
  <si>
    <t xml:space="preserve">Vertical Visibility</t>
  </si>
  <si>
    <t xml:space="preserve">VV</t>
  </si>
  <si>
    <t xml:space="preserve">Maximum distance at which an observer can see and identify objects looking vertically upwards into an obscuration.</t>
  </si>
  <si>
    <t xml:space="preserve">Tầm nhìn thẳng đứng</t>
  </si>
  <si>
    <t xml:space="preserve">When sky obscured.</t>
  </si>
  <si>
    <t xml:space="preserve">Ceiling</t>
  </si>
  <si>
    <t xml:space="preserve">T0196</t>
  </si>
  <si>
    <t xml:space="preserve">Cloud</t>
  </si>
  <si>
    <t xml:space="preserve">Height above the ground or water of the base of the lowest layer of cloud below 6 000 m (20 000 ft) covering more than half the sky.</t>
  </si>
  <si>
    <t xml:space="preserve">Trần mây</t>
  </si>
  <si>
    <t xml:space="preserve">BKN/OVC.</t>
  </si>
  <si>
    <t xml:space="preserve">FEW SCT BKN OVC</t>
  </si>
  <si>
    <t xml:space="preserve">T0197</t>
  </si>
  <si>
    <t xml:space="preserve">Cloud Amount FEW</t>
  </si>
  <si>
    <t xml:space="preserve">FEW</t>
  </si>
  <si>
    <t xml:space="preserve">1–2 oktas.</t>
  </si>
  <si>
    <t xml:space="preserve">Ít mây (1–2/8)</t>
  </si>
  <si>
    <t xml:space="preserve">METAR.</t>
  </si>
  <si>
    <t xml:space="preserve">SCT</t>
  </si>
  <si>
    <t xml:space="preserve">T0198</t>
  </si>
  <si>
    <t xml:space="preserve">Cloud Amount SCT</t>
  </si>
  <si>
    <t xml:space="preserve">3–4 oktas.</t>
  </si>
  <si>
    <t xml:space="preserve">Mây rải (3–4/8)</t>
  </si>
  <si>
    <t xml:space="preserve">BKN</t>
  </si>
  <si>
    <t xml:space="preserve">T0199</t>
  </si>
  <si>
    <t xml:space="preserve">Cloud Amount BKN</t>
  </si>
  <si>
    <t xml:space="preserve">5–7 oktas.</t>
  </si>
  <si>
    <t xml:space="preserve">Mây đứt (5–7/8)</t>
  </si>
  <si>
    <t xml:space="preserve">Ceiling if lowest.</t>
  </si>
  <si>
    <t xml:space="preserve">OVC</t>
  </si>
  <si>
    <t xml:space="preserve">T0200</t>
  </si>
  <si>
    <t xml:space="preserve">Cloud Amount OVC</t>
  </si>
  <si>
    <t xml:space="preserve">8 oktas.</t>
  </si>
  <si>
    <t xml:space="preserve">Mây đặc (8/8)</t>
  </si>
  <si>
    <t xml:space="preserve">Ceiling.</t>
  </si>
  <si>
    <t xml:space="preserve">T0201</t>
  </si>
  <si>
    <t xml:space="preserve">QNH in METAR</t>
  </si>
  <si>
    <t xml:space="preserve">Pressure reduced to MSL using standard atmosphere, reported in hPa.</t>
  </si>
  <si>
    <t xml:space="preserve">QNH trong METAR</t>
  </si>
  <si>
    <t xml:space="preserve">e.g. Q1013.</t>
  </si>
  <si>
    <t xml:space="preserve">T0202</t>
  </si>
  <si>
    <t xml:space="preserve">Trend Forecast</t>
  </si>
  <si>
    <t xml:space="preserve">TREND</t>
  </si>
  <si>
    <t xml:space="preserve">Landing forecast appended to METAR/SPECI covering next 2 hours.</t>
  </si>
  <si>
    <t xml:space="preserve">Dự báo xu thế</t>
  </si>
  <si>
    <t xml:space="preserve">NOSIG / BECMG / TEMPO.</t>
  </si>
  <si>
    <t xml:space="preserve">T0203</t>
  </si>
  <si>
    <t xml:space="preserve">NOSIG</t>
  </si>
  <si>
    <t xml:space="preserve">No significant change expected in TREND period.</t>
  </si>
  <si>
    <t xml:space="preserve">Không thay đổi đáng kể</t>
  </si>
  <si>
    <t xml:space="preserve">METAR end.</t>
  </si>
  <si>
    <t xml:space="preserve">T0204</t>
  </si>
  <si>
    <t xml:space="preserve">TEMPO</t>
  </si>
  <si>
    <t xml:space="preserve">Temporary fluctuations lasting less than one hour in each instance and covering less than half the forecast period.</t>
  </si>
  <si>
    <t xml:space="preserve">Biến đổi tạm thời</t>
  </si>
  <si>
    <t xml:space="preserve">TAF/TREND.</t>
  </si>
  <si>
    <t xml:space="preserve">BECMG</t>
  </si>
  <si>
    <t xml:space="preserve">T0205</t>
  </si>
  <si>
    <t xml:space="preserve">Change to new conditions expected to occur at a regular or irregular rate.</t>
  </si>
  <si>
    <t xml:space="preserve">Dần trở thành</t>
  </si>
  <si>
    <t xml:space="preserve">TAF.</t>
  </si>
  <si>
    <t xml:space="preserve">FM</t>
  </si>
  <si>
    <t xml:space="preserve">T0206</t>
  </si>
  <si>
    <t xml:space="preserve">From Group</t>
  </si>
  <si>
    <t xml:space="preserve">Rapid and significant change at a specified time in TAF.</t>
  </si>
  <si>
    <t xml:space="preserve">Từ thời điểm</t>
  </si>
  <si>
    <t xml:space="preserve">Self-contained group.</t>
  </si>
  <si>
    <t xml:space="preserve">T0207</t>
  </si>
  <si>
    <t xml:space="preserve">Probability Group</t>
  </si>
  <si>
    <t xml:space="preserve">PROB</t>
  </si>
  <si>
    <t xml:space="preserve">Probability of occurrence of an alternative value (30 or 40 percent).</t>
  </si>
  <si>
    <t xml:space="preserve">Xác suất</t>
  </si>
  <si>
    <t xml:space="preserve">PROB30 TEMPO.</t>
  </si>
  <si>
    <t xml:space="preserve">T0208</t>
  </si>
  <si>
    <t xml:space="preserve">World Area Forecast Centre</t>
  </si>
  <si>
    <t xml:space="preserve">WAFC</t>
  </si>
  <si>
    <t xml:space="preserve">Org</t>
  </si>
  <si>
    <t xml:space="preserve">Centre providing gridded WAFS forecasts (wind, temp, TURB, icing, CB, humidity).</t>
  </si>
  <si>
    <t xml:space="preserve">Trung tâm dự báo khu vực thế giới</t>
  </si>
  <si>
    <t xml:space="preserve">WAFC London / Washington.</t>
  </si>
  <si>
    <t xml:space="preserve">SADIS; WIFS</t>
  </si>
  <si>
    <t xml:space="preserve">T0209</t>
  </si>
  <si>
    <t xml:space="preserve">Meteorological Watch Office</t>
  </si>
  <si>
    <t xml:space="preserve">MWO</t>
  </si>
  <si>
    <t xml:space="preserve">Office maintaining watch over meteorological conditions affecting flight operations within its area of responsibility and issuing SIGMET/AIRMET.</t>
  </si>
  <si>
    <t xml:space="preserve">Phòng canh phòng khí tượng</t>
  </si>
  <si>
    <t xml:space="preserve">FIR-aligned.</t>
  </si>
  <si>
    <t xml:space="preserve">T0210</t>
  </si>
  <si>
    <t xml:space="preserve">Aerodrome Meteorological Office</t>
  </si>
  <si>
    <t xml:space="preserve">AMO</t>
  </si>
  <si>
    <t xml:space="preserve">Office providing MET service for an aerodrome.</t>
  </si>
  <si>
    <t xml:space="preserve">Phòng khí tượng sân bay</t>
  </si>
  <si>
    <t xml:space="preserve">METAR/TAF originator.</t>
  </si>
  <si>
    <t xml:space="preserve">AMS</t>
  </si>
  <si>
    <t xml:space="preserve">T0211</t>
  </si>
  <si>
    <t xml:space="preserve">Volcanic Ash Advisory Centre</t>
  </si>
  <si>
    <t xml:space="preserve">Centre designated to provide advisory information on volcanic ash.</t>
  </si>
  <si>
    <t xml:space="preserve">Trung tâm khuyến cáo tro núi lửa</t>
  </si>
  <si>
    <t xml:space="preserve">Nine VAACs globally.</t>
  </si>
  <si>
    <t xml:space="preserve">T0212</t>
  </si>
  <si>
    <t xml:space="preserve">Tropical Cyclone Advisory Centre</t>
  </si>
  <si>
    <t xml:space="preserve">Centre designated to provide tropical cyclone advisories.</t>
  </si>
  <si>
    <t xml:space="preserve">Trung tâm khuyến cáo bão nhiệt đới</t>
  </si>
  <si>
    <t xml:space="preserve">Tokyo / Miami / La Reunion etc.</t>
  </si>
  <si>
    <t xml:space="preserve">T0213</t>
  </si>
  <si>
    <t xml:space="preserve">Braking Action</t>
  </si>
  <si>
    <t xml:space="preserve">RWY</t>
  </si>
  <si>
    <t xml:space="preserve">Report of deceleration or directional control (legacy GOOD/MEDIUM/POOR).</t>
  </si>
  <si>
    <t xml:space="preserve">Hiệu quả phanh</t>
  </si>
  <si>
    <t xml:space="preserve">Doc 10066 GRF</t>
  </si>
  <si>
    <t xml:space="preserve">Replaced by RCC 0–6.</t>
  </si>
  <si>
    <t xml:space="preserve">RCC</t>
  </si>
  <si>
    <t xml:space="preserve">T0214</t>
  </si>
  <si>
    <t xml:space="preserve">Runway Condition Code</t>
  </si>
  <si>
    <t xml:space="preserve">RWYCC</t>
  </si>
  <si>
    <t xml:space="preserve">Number from 0 to 6 describing runway surface condition per GRF.</t>
  </si>
  <si>
    <t xml:space="preserve">Mã tình trạng đường CHC</t>
  </si>
  <si>
    <t xml:space="preserve">Doc 10066 / Annex 14</t>
  </si>
  <si>
    <t xml:space="preserve">Reported via RCR / SNOWTAM / ATIS.</t>
  </si>
  <si>
    <t xml:space="preserve">T0215</t>
  </si>
  <si>
    <t xml:space="preserve">Global Reporting Format</t>
  </si>
  <si>
    <t xml:space="preserve">ICAO globally harmonized methodology for assessing and reporting runway surface conditions.</t>
  </si>
  <si>
    <t xml:space="preserve">Định dạng báo cáo toàn cầu</t>
  </si>
  <si>
    <t xml:space="preserve">Doc 10066</t>
  </si>
  <si>
    <t xml:space="preserve">Since Nov 2021.</t>
  </si>
  <si>
    <t xml:space="preserve">T0216</t>
  </si>
  <si>
    <t xml:space="preserve">ATIS</t>
  </si>
  <si>
    <t xml:space="preserve">Broadcast</t>
  </si>
  <si>
    <t xml:space="preserve">Automatic Terminal Information Service — continuous broadcast of recorded non-control information.</t>
  </si>
  <si>
    <t xml:space="preserve">Thông tin sân bay tự động</t>
  </si>
  <si>
    <t xml:space="preserve">Letter identifier; MET + ops.</t>
  </si>
  <si>
    <t xml:space="preserve">D-ATIS</t>
  </si>
  <si>
    <t xml:space="preserve">T0217</t>
  </si>
  <si>
    <t xml:space="preserve">Data link ATIS.</t>
  </si>
  <si>
    <t xml:space="preserve">ATIS đường truyền dữ liệu</t>
  </si>
  <si>
    <t xml:space="preserve">ACARS/ATN.</t>
  </si>
  <si>
    <t xml:space="preserve">T0218</t>
  </si>
  <si>
    <t xml:space="preserve">VOLMET</t>
  </si>
  <si>
    <t xml:space="preserve">Meteorological information for aircraft in flight.</t>
  </si>
  <si>
    <t xml:space="preserve">Bản tin khí tượng cho tàu bay đang bay</t>
  </si>
  <si>
    <t xml:space="preserve">Annex 3 / Annex 11</t>
  </si>
  <si>
    <t xml:space="preserve">HF/VHF broadcast.</t>
  </si>
  <si>
    <t xml:space="preserve">METAR; TAF</t>
  </si>
  <si>
    <t xml:space="preserve">T0219</t>
  </si>
  <si>
    <t xml:space="preserve">PANS-OPS</t>
  </si>
  <si>
    <t xml:space="preserve">Doc</t>
  </si>
  <si>
    <t xml:space="preserve">Procedures for Air Navigation Services — Aircraft Operations (Doc 8168), Volumes I (Flight Procedures) and II (Construction of Visual and Instrument Flight Procedures).</t>
  </si>
  <si>
    <t xml:space="preserve">Quy trình khai thác tàu bay / thiết kế phương thức</t>
  </si>
  <si>
    <t xml:space="preserve">Core design criteria.</t>
  </si>
  <si>
    <t xml:space="preserve">IFP</t>
  </si>
  <si>
    <t xml:space="preserve">T0220</t>
  </si>
  <si>
    <t xml:space="preserve">Instrument Flight Procedure</t>
  </si>
  <si>
    <t xml:space="preserve">A series of predetermined manoeuvres by reference to flight instruments with specified protection from obstacles.</t>
  </si>
  <si>
    <t xml:space="preserve">Phương thức bay bằng thiết bị</t>
  </si>
  <si>
    <t xml:space="preserve">SID, STAR, IAP, holding.</t>
  </si>
  <si>
    <t xml:space="preserve">IAP</t>
  </si>
  <si>
    <t xml:space="preserve">T0221</t>
  </si>
  <si>
    <t xml:space="preserve">Instrument Approach Procedure</t>
  </si>
  <si>
    <t xml:space="preserve">Approach</t>
  </si>
  <si>
    <t xml:space="preserve">A series of predetermined manoeuvres by reference to flight instruments with specified protection from obstacles from the initial approach fix, or where applicable, from the beginning of a defined arrival route to a point from which a landing can be completed and thereafter, if a landing is not completed, to a position at which holding or en-route obstacle clearance criteria apply.</t>
  </si>
  <si>
    <t xml:space="preserve">Phương thức tiếp cận bằng thiết bị</t>
  </si>
  <si>
    <t xml:space="preserve">2D / 3D.</t>
  </si>
  <si>
    <t xml:space="preserve">IAF; FAF</t>
  </si>
  <si>
    <t xml:space="preserve">T0222</t>
  </si>
  <si>
    <t xml:space="preserve">Standard Instrument Departure</t>
  </si>
  <si>
    <t xml:space="preserve">SID</t>
  </si>
  <si>
    <t xml:space="preserve">Departure</t>
  </si>
  <si>
    <t xml:space="preserve">A designated IFR departure route linking the aerodrome or a specified runway of an aerodrome with a specified significant point, normally on a designated ATS route, at which the en-route phase of a flight commences.</t>
  </si>
  <si>
    <t xml:space="preserve">Phương thức khởi hành chuẩn bằng thiết bị</t>
  </si>
  <si>
    <t xml:space="preserve">Omnidirectional vs routed.</t>
  </si>
  <si>
    <t xml:space="preserve">PDG</t>
  </si>
  <si>
    <t xml:space="preserve">T0223</t>
  </si>
  <si>
    <t xml:space="preserve">Standard Instrument Arrival</t>
  </si>
  <si>
    <t xml:space="preserve">STAR</t>
  </si>
  <si>
    <t xml:space="preserve">Arrival</t>
  </si>
  <si>
    <t xml:space="preserve">A designated IFR arrival route linking a significant point, normally on an ATS route, with a point from which a published IAP can be commenced.</t>
  </si>
  <si>
    <t xml:space="preserve">Phương thức đến chuẩn bằng thiết bị</t>
  </si>
  <si>
    <t xml:space="preserve">Open vs closed STAR.</t>
  </si>
  <si>
    <t xml:space="preserve">T0224</t>
  </si>
  <si>
    <t xml:space="preserve">Initial Approach Fix</t>
  </si>
  <si>
    <t xml:space="preserve">Fix</t>
  </si>
  <si>
    <t xml:space="preserve">A fix that marks the beginning of the initial segment and the end of the arrival segment, if applicable.</t>
  </si>
  <si>
    <t xml:space="preserve">Điểm bắt đầu đoạn đầu</t>
  </si>
  <si>
    <t xml:space="preserve">May have holding.</t>
  </si>
  <si>
    <t xml:space="preserve">IF</t>
  </si>
  <si>
    <t xml:space="preserve">T0225</t>
  </si>
  <si>
    <t xml:space="preserve">Intermediate Fix</t>
  </si>
  <si>
    <t xml:space="preserve">A fix that marks the end of an initial segment and the beginning of the intermediate segment.</t>
  </si>
  <si>
    <t xml:space="preserve">Điểm trung gian</t>
  </si>
  <si>
    <t xml:space="preserve">Alignment and speed reduction.</t>
  </si>
  <si>
    <t xml:space="preserve">FAF</t>
  </si>
  <si>
    <t xml:space="preserve">T0226</t>
  </si>
  <si>
    <t xml:space="preserve">Final Approach Fix</t>
  </si>
  <si>
    <t xml:space="preserve">A fix that marks the beginning of the final approach segment (non-precision / 2D).</t>
  </si>
  <si>
    <t xml:space="preserve">Điểm bắt đầu đoạn cuối</t>
  </si>
  <si>
    <t xml:space="preserve">Step-down possible.</t>
  </si>
  <si>
    <t xml:space="preserve">FAP</t>
  </si>
  <si>
    <t xml:space="preserve">T0227</t>
  </si>
  <si>
    <t xml:space="preserve">Final Approach Point</t>
  </si>
  <si>
    <t xml:space="preserve">Point of an ILS/SBAS/GBAS precision approach at which the intermediate segment intersects the glide path.</t>
  </si>
  <si>
    <t xml:space="preserve">Điểm tiếp cận cuối (3D)</t>
  </si>
  <si>
    <t xml:space="preserve">Glide path intercept.</t>
  </si>
  <si>
    <t xml:space="preserve">GP</t>
  </si>
  <si>
    <t xml:space="preserve">T0228</t>
  </si>
  <si>
    <t xml:space="preserve">Missed Approach Point</t>
  </si>
  <si>
    <t xml:space="preserve">MAPt</t>
  </si>
  <si>
    <t xml:space="preserve">Point in an IAP at or before which the prescribed missed approach procedure must be initiated in order to ensure the minimum obstacle clearance is not infringed.</t>
  </si>
  <si>
    <t xml:space="preserve">Điểm tiếp cận hỏng</t>
  </si>
  <si>
    <t xml:space="preserve">Often navaid or waypoint.</t>
  </si>
  <si>
    <t xml:space="preserve">T0229</t>
  </si>
  <si>
    <t xml:space="preserve">Decision Altitude/Height</t>
  </si>
  <si>
    <t xml:space="preserve">DA/H</t>
  </si>
  <si>
    <t xml:space="preserve">A specified altitude or height in a 3D instrument approach operation at which a missed approach must be initiated if the required visual reference to continue the approach has not been established.</t>
  </si>
  <si>
    <t xml:space="preserve">Độ cao quyết định</t>
  </si>
  <si>
    <t xml:space="preserve">Doc 8168 / Annex 6</t>
  </si>
  <si>
    <t xml:space="preserve">Precision / APV / LPV.</t>
  </si>
  <si>
    <t xml:space="preserve">DH</t>
  </si>
  <si>
    <t xml:space="preserve">T0230</t>
  </si>
  <si>
    <t xml:space="preserve">Minimum Descent Altitude/Height</t>
  </si>
  <si>
    <t xml:space="preserve">MDA/H</t>
  </si>
  <si>
    <t xml:space="preserve">A specified altitude or height in a 2D instrument approach operation or circling approach below which descent must not be made without the required visual reference.</t>
  </si>
  <si>
    <t xml:space="preserve">Độ cao hạ thấp tối thiểu</t>
  </si>
  <si>
    <t xml:space="preserve">Non-precision.</t>
  </si>
  <si>
    <t xml:space="preserve">CDFA</t>
  </si>
  <si>
    <t xml:space="preserve">T0231</t>
  </si>
  <si>
    <t xml:space="preserve">Obstacle Clearance Altitude/Height</t>
  </si>
  <si>
    <t xml:space="preserve">OCA/H</t>
  </si>
  <si>
    <t xml:space="preserve">The lowest altitude or the lowest height above the elevation of the relevant runway threshold or the aerodrome as applicable, used in establishing compliance with appropriate obstacle clearance criteria.</t>
  </si>
  <si>
    <t xml:space="preserve">Độ cao vượt chướng ngại</t>
  </si>
  <si>
    <t xml:space="preserve">Basis for published minima.</t>
  </si>
  <si>
    <t xml:space="preserve">DA; MDA</t>
  </si>
  <si>
    <t xml:space="preserve">T0232</t>
  </si>
  <si>
    <t xml:space="preserve">Continuous Descent Final Approach</t>
  </si>
  <si>
    <t xml:space="preserve">Technique</t>
  </si>
  <si>
    <t xml:space="preserve">A technique, consistent with stabilized approach procedures, for flying the final approach segment of a 2D instrument approach procedure as a continuous descent, without level-off, from an altitude/height at or above the FAF altitude/height.</t>
  </si>
  <si>
    <t xml:space="preserve">Hạ cánh cuối liên tục</t>
  </si>
  <si>
    <t xml:space="preserve">Preferred NPA technique.</t>
  </si>
  <si>
    <t xml:space="preserve">MDA</t>
  </si>
  <si>
    <t xml:space="preserve">T0233</t>
  </si>
  <si>
    <t xml:space="preserve">Precision Approach</t>
  </si>
  <si>
    <t xml:space="preserve">PA</t>
  </si>
  <si>
    <t xml:space="preserve">An instrument approach based on a navigation system that provides course and glide path deviation with minima as per operations specifications (typically ILS/MLS/GLS Cat I–III).</t>
  </si>
  <si>
    <t xml:space="preserve">Tiếp cận chính xác</t>
  </si>
  <si>
    <t xml:space="preserve">Annex 6 / Doc 8168</t>
  </si>
  <si>
    <t xml:space="preserve">3D with GP.</t>
  </si>
  <si>
    <t xml:space="preserve">ILS</t>
  </si>
  <si>
    <t xml:space="preserve">T0234</t>
  </si>
  <si>
    <t xml:space="preserve">Non-Precision Approach</t>
  </si>
  <si>
    <t xml:space="preserve">NPA</t>
  </si>
  <si>
    <t xml:space="preserve">An instrument approach based on a navigation system that provides course deviation but no glide path.</t>
  </si>
  <si>
    <t xml:space="preserve">Tiếp cận không chính xác</t>
  </si>
  <si>
    <t xml:space="preserve">Annex 6</t>
  </si>
  <si>
    <t xml:space="preserve">2D; fly CDFA.</t>
  </si>
  <si>
    <t xml:space="preserve">VOR; NDB; LNAV</t>
  </si>
  <si>
    <t xml:space="preserve">T0235</t>
  </si>
  <si>
    <t xml:space="preserve">Approach Procedure with Vertical Guidance</t>
  </si>
  <si>
    <t xml:space="preserve">APV</t>
  </si>
  <si>
    <t xml:space="preserve">An instrument approach based on a navigation system that is not required to meet the precision approach standards but provides course and glide path deviation.</t>
  </si>
  <si>
    <t xml:space="preserve">Tiếp cận có dẫn đường thẳng đứng</t>
  </si>
  <si>
    <t xml:space="preserve">Baro-VNAV, LPV.</t>
  </si>
  <si>
    <t xml:space="preserve">LNAV/VNAV</t>
  </si>
  <si>
    <t xml:space="preserve">T0236</t>
  </si>
  <si>
    <t xml:space="preserve">ILS Category I</t>
  </si>
  <si>
    <t xml:space="preserve">CAT I</t>
  </si>
  <si>
    <t xml:space="preserve">DH not lower than 60 m (200 ft) and either visibility not less than 800 m or RVR not less than 550 m.</t>
  </si>
  <si>
    <t xml:space="preserve">ILS Hạng I</t>
  </si>
  <si>
    <t xml:space="preserve">Annex 6 / Annex 10</t>
  </si>
  <si>
    <t xml:space="preserve">Standard precision.</t>
  </si>
  <si>
    <t xml:space="preserve">T0237</t>
  </si>
  <si>
    <t xml:space="preserve">ILS Category II</t>
  </si>
  <si>
    <t xml:space="preserve">CAT II</t>
  </si>
  <si>
    <t xml:space="preserve">DH lower than 60 m (200 ft) but not lower than 30 m (100 ft) and RVR not less than 300 m.</t>
  </si>
  <si>
    <t xml:space="preserve">ILS Hạng II</t>
  </si>
  <si>
    <t xml:space="preserve">Requires LVP.</t>
  </si>
  <si>
    <t xml:space="preserve">T0238</t>
  </si>
  <si>
    <t xml:space="preserve">ILS Category III</t>
  </si>
  <si>
    <t xml:space="preserve">CAT III</t>
  </si>
  <si>
    <t xml:space="preserve">A precision approach and landing with no DH or DH below 30 m (100 ft) and RVR less than 300 m, subdivided A/B/C.</t>
  </si>
  <si>
    <t xml:space="preserve">ILS Hạng III</t>
  </si>
  <si>
    <t xml:space="preserve">Autoland typically.</t>
  </si>
  <si>
    <t xml:space="preserve">T0239</t>
  </si>
  <si>
    <t xml:space="preserve">Glide Path</t>
  </si>
  <si>
    <t xml:space="preserve">A descent profile determined for vertical guidance during a final approach.</t>
  </si>
  <si>
    <t xml:space="preserve">Đường hạ cánh ILS</t>
  </si>
  <si>
    <t xml:space="preserve">Typically 3.0°.</t>
  </si>
  <si>
    <t xml:space="preserve">TCH</t>
  </si>
  <si>
    <t xml:space="preserve">T0240</t>
  </si>
  <si>
    <t xml:space="preserve">Localizer</t>
  </si>
  <si>
    <t xml:space="preserve">LOC</t>
  </si>
  <si>
    <t xml:space="preserve">The component of ILS which provides course guidance to the runway centre line.</t>
  </si>
  <si>
    <t xml:space="preserve">Đài hướng ILS</t>
  </si>
  <si>
    <t xml:space="preserve">Front course / back course.</t>
  </si>
  <si>
    <t xml:space="preserve">T0241</t>
  </si>
  <si>
    <t xml:space="preserve">Threshold Crossing Height</t>
  </si>
  <si>
    <t xml:space="preserve">The height of the ILS glide path / procedure path above threshold.</t>
  </si>
  <si>
    <t xml:space="preserve">Độ cao qua ngưỡng CHC</t>
  </si>
  <si>
    <t xml:space="preserve">Typically 15–18 m.</t>
  </si>
  <si>
    <t xml:space="preserve">T0242</t>
  </si>
  <si>
    <t xml:space="preserve">Procedure Turn</t>
  </si>
  <si>
    <t xml:space="preserve">PT</t>
  </si>
  <si>
    <t xml:space="preserve">Manoeuvre</t>
  </si>
  <si>
    <t xml:space="preserve">A manoeuvre in which a turn is made away from a designated track followed by a turn in the opposite direction to permit the aircraft to intercept and proceed along the reciprocal of the designated track.</t>
  </si>
  <si>
    <t xml:space="preserve">Cua phương thức</t>
  </si>
  <si>
    <t xml:space="preserve">45/180 or 80/260.</t>
  </si>
  <si>
    <t xml:space="preserve">Base turn</t>
  </si>
  <si>
    <t xml:space="preserve">T0243</t>
  </si>
  <si>
    <t xml:space="preserve">Base Turn</t>
  </si>
  <si>
    <t xml:space="preserve">A turn executed by the aircraft during the initial approach between the end of the outbound track and the beginning of the intermediate or final approach track. The tracks are not reciprocal.</t>
  </si>
  <si>
    <t xml:space="preserve">Cua cơ sở</t>
  </si>
  <si>
    <t xml:space="preserve">Racetrack alternative.</t>
  </si>
  <si>
    <t xml:space="preserve">T0244</t>
  </si>
  <si>
    <t xml:space="preserve">Racetrack Procedure</t>
  </si>
  <si>
    <t xml:space="preserve">A procedure designed to enable the aircraft to reduce altitude during the initial approach segment and/or intercept the intermediate or final approach track.</t>
  </si>
  <si>
    <t xml:space="preserve">Phương thức đường đua</t>
  </si>
  <si>
    <t xml:space="preserve">Holding-pattern shape.</t>
  </si>
  <si>
    <t xml:space="preserve">T0245</t>
  </si>
  <si>
    <t xml:space="preserve">Holding Pattern</t>
  </si>
  <si>
    <t xml:space="preserve">A predetermined manoeuvre which keeps an aircraft within a specified airspace while awaiting further clearance. Standard: right turns, 1 min inbound ≤ FL140, 1.5 min above.</t>
  </si>
  <si>
    <t xml:space="preserve">Vòng chờ</t>
  </si>
  <si>
    <t xml:space="preserve">Doc 8168 Vol II P4</t>
  </si>
  <si>
    <t xml:space="preserve">Entry: direct / parallel / offset.</t>
  </si>
  <si>
    <t xml:space="preserve">Holding area</t>
  </si>
  <si>
    <t xml:space="preserve">T0246</t>
  </si>
  <si>
    <t xml:space="preserve">Primary Area</t>
  </si>
  <si>
    <t xml:space="preserve">Protection</t>
  </si>
  <si>
    <t xml:space="preserve">Area symmetrically disposed about the nominal flight track in which full obstacle clearance is provided.</t>
  </si>
  <si>
    <t xml:space="preserve">Vùng chính</t>
  </si>
  <si>
    <t xml:space="preserve">MOC 100%.</t>
  </si>
  <si>
    <t xml:space="preserve">Secondary area</t>
  </si>
  <si>
    <t xml:space="preserve">T0247</t>
  </si>
  <si>
    <t xml:space="preserve">Secondary Area</t>
  </si>
  <si>
    <t xml:space="preserve">Area along the outer edges of the primary area in which MOC reduces from 100% to 0%.</t>
  </si>
  <si>
    <t xml:space="preserve">Vùng phụ</t>
  </si>
  <si>
    <t xml:space="preserve">Buffer.</t>
  </si>
  <si>
    <t xml:space="preserve">MOC</t>
  </si>
  <si>
    <t xml:space="preserve">T0248</t>
  </si>
  <si>
    <t xml:space="preserve">Minimum Obstacle Clearance</t>
  </si>
  <si>
    <t xml:space="preserve">The minimum vertical clearance that must exist between aircraft and obstacles in the primary area of a segment.</t>
  </si>
  <si>
    <t xml:space="preserve">Giãn cách chướng ngại tối thiểu</t>
  </si>
  <si>
    <t xml:space="preserve">e.g. 300 m initial; 150 m intermediate; 75 m NPA final.</t>
  </si>
  <si>
    <t xml:space="preserve">T0249</t>
  </si>
  <si>
    <t xml:space="preserve">Procedure Design Gradient</t>
  </si>
  <si>
    <t xml:space="preserve">The published climb gradient for a SID or missed approach when greater than the minimum.</t>
  </si>
  <si>
    <t xml:space="preserve">Độ dốc thiết kế phương thức</t>
  </si>
  <si>
    <t xml:space="preserve">Minimum 3.3% departure.</t>
  </si>
  <si>
    <t xml:space="preserve">T0250</t>
  </si>
  <si>
    <t xml:space="preserve">Turning Departure</t>
  </si>
  <si>
    <t xml:space="preserve">Departure involving a turn of more than 15°.</t>
  </si>
  <si>
    <t xml:space="preserve">Khởi hành có cua</t>
  </si>
  <si>
    <t xml:space="preserve">Turn altitude / turn fix.</t>
  </si>
  <si>
    <t xml:space="preserve">T0251</t>
  </si>
  <si>
    <t xml:space="preserve">Straight Departure</t>
  </si>
  <si>
    <t xml:space="preserve">Departure in which the initial departure track is within 15° of the runway alignment.</t>
  </si>
  <si>
    <t xml:space="preserve">Khởi hành thẳng</t>
  </si>
  <si>
    <t xml:space="preserve">Simpler protection.</t>
  </si>
  <si>
    <t xml:space="preserve">T0252</t>
  </si>
  <si>
    <t xml:space="preserve">Omnidirectional Departure</t>
  </si>
  <si>
    <t xml:space="preserve">Departure procedure designed where no track guidance is provided.</t>
  </si>
  <si>
    <t xml:space="preserve">Khởi hành mọi hướng</t>
  </si>
  <si>
    <t xml:space="preserve">Sectors / restrictions.</t>
  </si>
  <si>
    <t xml:space="preserve">T0253</t>
  </si>
  <si>
    <t xml:space="preserve">Visual Segment Surface</t>
  </si>
  <si>
    <t xml:space="preserve">VSS</t>
  </si>
  <si>
    <t xml:space="preserve">Obstacle protection surface for the visual segment of an approach.</t>
  </si>
  <si>
    <t xml:space="preserve">Bề mặt đoạn nhìn thấy</t>
  </si>
  <si>
    <t xml:space="preserve">Doc 8168 / Annex 14</t>
  </si>
  <si>
    <t xml:space="preserve">APV / PA alignment.</t>
  </si>
  <si>
    <t xml:space="preserve">OAS</t>
  </si>
  <si>
    <t xml:space="preserve">T0254</t>
  </si>
  <si>
    <t xml:space="preserve">Obstacle Assessment Surface</t>
  </si>
  <si>
    <t xml:space="preserve">Surfaces used in ILS collision-risk / CRM assessment.</t>
  </si>
  <si>
    <t xml:space="preserve">Bề mặt đánh giá chướng ngại</t>
  </si>
  <si>
    <t xml:space="preserve">Doc 8168 Vol II</t>
  </si>
  <si>
    <t xml:space="preserve">Cat I/II/III.</t>
  </si>
  <si>
    <t xml:space="preserve">CRM</t>
  </si>
  <si>
    <t xml:space="preserve">T0255</t>
  </si>
  <si>
    <t xml:space="preserve">Collision Risk Model</t>
  </si>
  <si>
    <t xml:space="preserve">ICAO statistical model used in ILS procedure design obstacle assessment.</t>
  </si>
  <si>
    <t xml:space="preserve">Mô hình rủi ro va chạm</t>
  </si>
  <si>
    <t xml:space="preserve">Complements OAS.</t>
  </si>
  <si>
    <t xml:space="preserve">T0256</t>
  </si>
  <si>
    <t xml:space="preserve">Circling Approach</t>
  </si>
  <si>
    <t xml:space="preserve">Visual manoeuvre after completing an instrument approach to bring the aircraft into position for landing on a runway not suitably located for a straight-in.</t>
  </si>
  <si>
    <t xml:space="preserve">Tiếp cận vòng</t>
  </si>
  <si>
    <t xml:space="preserve">Circling MDA and visibility.</t>
  </si>
  <si>
    <t xml:space="preserve">Visual manoeuvring</t>
  </si>
  <si>
    <t xml:space="preserve">T0257</t>
  </si>
  <si>
    <t xml:space="preserve">Straight-in Approach</t>
  </si>
  <si>
    <t xml:space="preserve">Final approach track aligned within 5° (or 30° for NPA certain criteria) of runway centre line.</t>
  </si>
  <si>
    <t xml:space="preserve">Tiếp cận thẳng</t>
  </si>
  <si>
    <t xml:space="preserve">Preferred.</t>
  </si>
  <si>
    <t xml:space="preserve">T0258</t>
  </si>
  <si>
    <t xml:space="preserve">LNAV Minima</t>
  </si>
  <si>
    <t xml:space="preserve">LNAV</t>
  </si>
  <si>
    <t xml:space="preserve">Lateral navigation only minima for RNP APCH (2D).</t>
  </si>
  <si>
    <t xml:space="preserve">Cực tiểu LNAV</t>
  </si>
  <si>
    <t xml:space="preserve">Doc 8168 / Doc 9613</t>
  </si>
  <si>
    <t xml:space="preserve">MDA/H.</t>
  </si>
  <si>
    <t xml:space="preserve">T0259</t>
  </si>
  <si>
    <t xml:space="preserve">LNAV/VNAV Minima</t>
  </si>
  <si>
    <t xml:space="preserve">Minima using Baro-VNAV vertical guidance with RNP APCH.</t>
  </si>
  <si>
    <t xml:space="preserve">Cực tiểu LNAV/VNAV</t>
  </si>
  <si>
    <t xml:space="preserve">DA/H; temp limits.</t>
  </si>
  <si>
    <t xml:space="preserve">Baro-VNAV</t>
  </si>
  <si>
    <t xml:space="preserve">T0260</t>
  </si>
  <si>
    <t xml:space="preserve">LPV Minima</t>
  </si>
  <si>
    <t xml:space="preserve">LPV</t>
  </si>
  <si>
    <t xml:space="preserve">Localizer Performance with Vertical guidance using SBAS.</t>
  </si>
  <si>
    <t xml:space="preserve">Cực tiểu LPV</t>
  </si>
  <si>
    <t xml:space="preserve">APV-I / APV-II.</t>
  </si>
  <si>
    <t xml:space="preserve">SBAS</t>
  </si>
  <si>
    <t xml:space="preserve">T0261</t>
  </si>
  <si>
    <t xml:space="preserve">Vertical navigation based on barometric altitude for final approach.</t>
  </si>
  <si>
    <t xml:space="preserve">Dẫn đường thẳng đứng khí áp</t>
  </si>
  <si>
    <t xml:space="preserve">Temperature correction.</t>
  </si>
  <si>
    <t xml:space="preserve">VNAV</t>
  </si>
  <si>
    <t xml:space="preserve">T0262</t>
  </si>
  <si>
    <t xml:space="preserve">RF Leg</t>
  </si>
  <si>
    <t xml:space="preserve">RF</t>
  </si>
  <si>
    <t xml:space="preserve">Radius-to-Fix path terminator defining a constant radius turn.</t>
  </si>
  <si>
    <t xml:space="preserve">Đoạn cung RF</t>
  </si>
  <si>
    <t xml:space="preserve">Doc 8168 / ARINC 424</t>
  </si>
  <si>
    <t xml:space="preserve">RNP AR common.</t>
  </si>
  <si>
    <t xml:space="preserve">Path terminator</t>
  </si>
  <si>
    <t xml:space="preserve">T0263</t>
  </si>
  <si>
    <t xml:space="preserve">Path Terminator</t>
  </si>
  <si>
    <t xml:space="preserve">ARINC 424 two-letter codes defining how a path is flown (IF, TF, CF, DF, FA, CA, VA, VM, RF, HM, HA, HF, PI, etc.).</t>
  </si>
  <si>
    <t xml:space="preserve">Mã kết thúc đoạn đường bay</t>
  </si>
  <si>
    <t xml:space="preserve">ARINC 424 / Doc 8168</t>
  </si>
  <si>
    <t xml:space="preserve">Coding of IFP.</t>
  </si>
  <si>
    <t xml:space="preserve">FMS</t>
  </si>
  <si>
    <t xml:space="preserve">T0264</t>
  </si>
  <si>
    <t xml:space="preserve">Waypoint Fly-by</t>
  </si>
  <si>
    <t xml:space="preserve">Waypoint that requires turn anticipation so as to allow tangential interception of the next segment.</t>
  </si>
  <si>
    <t xml:space="preserve">Điểm bay qua (fly-by)</t>
  </si>
  <si>
    <t xml:space="preserve">Default.</t>
  </si>
  <si>
    <t xml:space="preserve">Fly-over</t>
  </si>
  <si>
    <t xml:space="preserve">T0265</t>
  </si>
  <si>
    <t xml:space="preserve">Waypoint Fly-over</t>
  </si>
  <si>
    <t xml:space="preserve">Waypoint at which a turn is initiated after overflying the waypoint.</t>
  </si>
  <si>
    <t xml:space="preserve">Điểm bay đúng trên</t>
  </si>
  <si>
    <t xml:space="preserve">Used when fly-by not acceptable.</t>
  </si>
  <si>
    <t xml:space="preserve">Fly-by</t>
  </si>
  <si>
    <t xml:space="preserve">T0266</t>
  </si>
  <si>
    <t xml:space="preserve">FAS Data Block</t>
  </si>
  <si>
    <t xml:space="preserve">FAS DB</t>
  </si>
  <si>
    <t xml:space="preserve">Final Approach Segment data block for SBAS/GBAS approaches.</t>
  </si>
  <si>
    <t xml:space="preserve">Khối dữ liệu đoạn tiếp cận cuối</t>
  </si>
  <si>
    <t xml:space="preserve">Doc 8168 / Annex 10</t>
  </si>
  <si>
    <t xml:space="preserve">CRC protected.</t>
  </si>
  <si>
    <t xml:space="preserve">T0267</t>
  </si>
  <si>
    <t xml:space="preserve">Procedure Design Organization</t>
  </si>
  <si>
    <t xml:space="preserve">PDO</t>
  </si>
  <si>
    <t xml:space="preserve">Organization approved to design IFPs.</t>
  </si>
  <si>
    <t xml:space="preserve">Tổ chức thiết kế phương thức</t>
  </si>
  <si>
    <t xml:space="preserve">Doc 9906</t>
  </si>
  <si>
    <t xml:space="preserve">Quality assurance.</t>
  </si>
  <si>
    <t xml:space="preserve">IFPD</t>
  </si>
  <si>
    <t xml:space="preserve">T0268</t>
  </si>
  <si>
    <t xml:space="preserve">Flight Procedure Design</t>
  </si>
  <si>
    <t xml:space="preserve">Process of constructing IFPs in accordance with PANS-OPS and quality processes in Doc 9906.</t>
  </si>
  <si>
    <t xml:space="preserve">Thiết kế phương thức bay</t>
  </si>
  <si>
    <t xml:space="preserve">5-stage process often used.</t>
  </si>
  <si>
    <t xml:space="preserve">QA</t>
  </si>
  <si>
    <t xml:space="preserve">T0269</t>
  </si>
  <si>
    <t xml:space="preserve">Quality Assurance Manual for Flight Procedure Design (multi-volume).</t>
  </si>
  <si>
    <t xml:space="preserve">Sổ tay đảm bảo chất lượng thiết kế phương thức</t>
  </si>
  <si>
    <t xml:space="preserve">Training, validation, maintenance.</t>
  </si>
  <si>
    <t xml:space="preserve">T0270</t>
  </si>
  <si>
    <t xml:space="preserve">Ground Validation</t>
  </si>
  <si>
    <t xml:space="preserve">Office and simulator review of a new or revised IFP.</t>
  </si>
  <si>
    <t xml:space="preserve">Thẩm định mặt đất</t>
  </si>
  <si>
    <t xml:space="preserve">Before flight validation.</t>
  </si>
  <si>
    <t xml:space="preserve">Flight validation</t>
  </si>
  <si>
    <t xml:space="preserve">T0271</t>
  </si>
  <si>
    <t xml:space="preserve">Flight Validation</t>
  </si>
  <si>
    <t xml:space="preserve">Flight check of an IFP to confirm flyability, data and obstacle environment.</t>
  </si>
  <si>
    <t xml:space="preserve">Thẩm định bay</t>
  </si>
  <si>
    <t xml:space="preserve">Doc 8071 / Doc 9906</t>
  </si>
  <si>
    <t xml:space="preserve">May be waived if criteria met.</t>
  </si>
  <si>
    <t xml:space="preserve">T0272</t>
  </si>
  <si>
    <t xml:space="preserve">Procedure Altitude/Height</t>
  </si>
  <si>
    <t xml:space="preserve">A published altitude/height flown operationally after considering obstacles, constraints and ATC.</t>
  </si>
  <si>
    <t xml:space="preserve">Độ cao phương thức</t>
  </si>
  <si>
    <t xml:space="preserve">May be above OCA.</t>
  </si>
  <si>
    <t xml:space="preserve">T0273</t>
  </si>
  <si>
    <t xml:space="preserve">Safety Management System</t>
  </si>
  <si>
    <t xml:space="preserve">System</t>
  </si>
  <si>
    <t xml:space="preserve">A systematic approach to managing safety, including the necessary organizational structures, accountabilities, policies and procedures.</t>
  </si>
  <si>
    <t xml:space="preserve">Hệ thống quản lý an toàn</t>
  </si>
  <si>
    <t xml:space="preserve">Annex 19 / Doc 9859</t>
  </si>
  <si>
    <t xml:space="preserve">4 components / 12 elements.</t>
  </si>
  <si>
    <t xml:space="preserve">SSP</t>
  </si>
  <si>
    <t xml:space="preserve">T0274</t>
  </si>
  <si>
    <t xml:space="preserve">State Safety Programme</t>
  </si>
  <si>
    <t xml:space="preserve">An integrated set of regulations and activities aimed at improving safety.</t>
  </si>
  <si>
    <t xml:space="preserve">Chương trình an toàn quốc gia</t>
  </si>
  <si>
    <t xml:space="preserve">Annex 19</t>
  </si>
  <si>
    <t xml:space="preserve">CAAV context.</t>
  </si>
  <si>
    <t xml:space="preserve">T0275</t>
  </si>
  <si>
    <t xml:space="preserve">Safety Risk Management</t>
  </si>
  <si>
    <t xml:space="preserve">SRM</t>
  </si>
  <si>
    <t xml:space="preserve">Hazard identification, risk assessment and mitigation.</t>
  </si>
  <si>
    <t xml:space="preserve">Quản lý rủi ro an toàn</t>
  </si>
  <si>
    <t xml:space="preserve">Doc 9859</t>
  </si>
  <si>
    <t xml:space="preserve">Bow-tie / risk matrix.</t>
  </si>
  <si>
    <t xml:space="preserve">T0276</t>
  </si>
  <si>
    <t xml:space="preserve">Safety Assurance</t>
  </si>
  <si>
    <t xml:space="preserve">SA</t>
  </si>
  <si>
    <t xml:space="preserve">Processes that monitor SMS performance and change management.</t>
  </si>
  <si>
    <t xml:space="preserve">Đảm bảo an toàn</t>
  </si>
  <si>
    <t xml:space="preserve">Audit, SPI, MOR.</t>
  </si>
  <si>
    <t xml:space="preserve">T0277</t>
  </si>
  <si>
    <t xml:space="preserve">Safety Performance Indicator</t>
  </si>
  <si>
    <t xml:space="preserve">Metric</t>
  </si>
  <si>
    <t xml:space="preserve">A data-based parameter used for monitoring and assessing safety performance.</t>
  </si>
  <si>
    <t xml:space="preserve">Chỉ số hiệu suất an toàn</t>
  </si>
  <si>
    <t xml:space="preserve">e.g. loss of separation / 100 000 movements.</t>
  </si>
  <si>
    <t xml:space="preserve">SPT</t>
  </si>
  <si>
    <t xml:space="preserve">T0278</t>
  </si>
  <si>
    <t xml:space="preserve">Safety Performance Target</t>
  </si>
  <si>
    <t xml:space="preserve">The planned or intended objective for a SPI over a given period.</t>
  </si>
  <si>
    <t xml:space="preserve">Mục tiêu hiệu suất an toàn</t>
  </si>
  <si>
    <t xml:space="preserve">Acceptable level of safety performance.</t>
  </si>
  <si>
    <t xml:space="preserve">ALoSP</t>
  </si>
  <si>
    <t xml:space="preserve">T0279</t>
  </si>
  <si>
    <t xml:space="preserve">Acceptable Level of Safety Performance</t>
  </si>
  <si>
    <t xml:space="preserve">Minimum level of safety performance of civil aviation in a State, as defined in its SSP, or of a service provider as defined in its SMS, expressed in terms of SPI and SPT.</t>
  </si>
  <si>
    <t xml:space="preserve">Mức hiệu suất an toàn chấp nhận được</t>
  </si>
  <si>
    <t xml:space="preserve">Not a single number.</t>
  </si>
  <si>
    <t xml:space="preserve">T0280</t>
  </si>
  <si>
    <t xml:space="preserve">Hazard</t>
  </si>
  <si>
    <t xml:space="preserve">A condition or an object with the potential to cause or contribute to an aircraft incident or accident.</t>
  </si>
  <si>
    <t xml:space="preserve">Mối nguy</t>
  </si>
  <si>
    <t xml:space="preserve">Not the same as risk.</t>
  </si>
  <si>
    <t xml:space="preserve">Risk</t>
  </si>
  <si>
    <t xml:space="preserve">T0281</t>
  </si>
  <si>
    <t xml:space="preserve">Safety Risk</t>
  </si>
  <si>
    <t xml:space="preserve">The predicted probability and severity of the consequences or outcomes of a hazard.</t>
  </si>
  <si>
    <t xml:space="preserve">Rủi ro an toàn</t>
  </si>
  <si>
    <t xml:space="preserve">5×5 matrix common.</t>
  </si>
  <si>
    <t xml:space="preserve">Mitigation</t>
  </si>
  <si>
    <t xml:space="preserve">T0282</t>
  </si>
  <si>
    <t xml:space="preserve">Just Culture</t>
  </si>
  <si>
    <t xml:space="preserve">Culture</t>
  </si>
  <si>
    <t xml:space="preserve">A culture in which front-line operators or others are not punished for actions, omissions or decisions commensurate with their experience and training, but where gross negligence, wilful violations and destructive acts are not tolerated.</t>
  </si>
  <si>
    <t xml:space="preserve">Văn hóa công bằng</t>
  </si>
  <si>
    <t xml:space="preserve">Doc 9859 / EU 376/2014</t>
  </si>
  <si>
    <t xml:space="preserve">Enables reporting.</t>
  </si>
  <si>
    <t xml:space="preserve">MOR</t>
  </si>
  <si>
    <t xml:space="preserve">T0283</t>
  </si>
  <si>
    <t xml:space="preserve">Mandatory Occurrence Report</t>
  </si>
  <si>
    <t xml:space="preserve">Reporting</t>
  </si>
  <si>
    <t xml:space="preserve">Required report of specified occurrences.</t>
  </si>
  <si>
    <t xml:space="preserve">Báo cáo sự cố bắt buộc</t>
  </si>
  <si>
    <t xml:space="preserve">Annex 13 / 19; national regs</t>
  </si>
  <si>
    <t xml:space="preserve">CAA / ANS provider.</t>
  </si>
  <si>
    <t xml:space="preserve">VOR</t>
  </si>
  <si>
    <t xml:space="preserve">T0284</t>
  </si>
  <si>
    <t xml:space="preserve">Voluntary Occurrence Report</t>
  </si>
  <si>
    <t xml:space="preserve">Non-mandatory safety report.</t>
  </si>
  <si>
    <t xml:space="preserve">Báo cáo sự cố tự nguyện</t>
  </si>
  <si>
    <t xml:space="preserve">Just culture essential.</t>
  </si>
  <si>
    <t xml:space="preserve">T0285</t>
  </si>
  <si>
    <t xml:space="preserve">Airprox</t>
  </si>
  <si>
    <t xml:space="preserve">AIRPROX</t>
  </si>
  <si>
    <t xml:space="preserve">Event</t>
  </si>
  <si>
    <t xml:space="preserve">A situation in which, in the opinion of a pilot or ATS personnel, the distance between aircraft as well as their relative positions and speed have been such that the safety of the aircraft involved may have been compromised.</t>
  </si>
  <si>
    <t xml:space="preserve">Xích lại gần nguy hiểm</t>
  </si>
  <si>
    <t xml:space="preserve">Severity A–E assessment.</t>
  </si>
  <si>
    <t xml:space="preserve">STCA</t>
  </si>
  <si>
    <t xml:space="preserve">T0286</t>
  </si>
  <si>
    <t xml:space="preserve">Loss of Separation</t>
  </si>
  <si>
    <t xml:space="preserve">LOS</t>
  </si>
  <si>
    <t xml:space="preserve">Infringement of prescribed separation minima.</t>
  </si>
  <si>
    <t xml:space="preserve">Mất giãn cách</t>
  </si>
  <si>
    <t xml:space="preserve">ATS SMS</t>
  </si>
  <si>
    <t xml:space="preserve">SPI candidate.</t>
  </si>
  <si>
    <t xml:space="preserve">T0287</t>
  </si>
  <si>
    <t xml:space="preserve">Short Term Conflict Alert</t>
  </si>
  <si>
    <t xml:space="preserve">Tool</t>
  </si>
  <si>
    <t xml:space="preserve">A ground-based safety net that predicts conflicts within a look-ahead time and alerts the controller.</t>
  </si>
  <si>
    <t xml:space="preserve">Cảnh báo xung đột ngắn hạn</t>
  </si>
  <si>
    <t xml:space="preserve">Eurocontrol SRC</t>
  </si>
  <si>
    <t xml:space="preserve">Tactical net.</t>
  </si>
  <si>
    <t xml:space="preserve">MSAW</t>
  </si>
  <si>
    <t xml:space="preserve">T0288</t>
  </si>
  <si>
    <t xml:space="preserve">Minimum Safe Altitude Warning</t>
  </si>
  <si>
    <t xml:space="preserve">Safety net alerting when an aircraft is predicted to impact terrain or go below safe altitude.</t>
  </si>
  <si>
    <t xml:space="preserve">Cảnh báo độ cao an toàn tối thiểu</t>
  </si>
  <si>
    <t xml:space="preserve">CWP alert.</t>
  </si>
  <si>
    <t xml:space="preserve">APW</t>
  </si>
  <si>
    <t xml:space="preserve">T0289</t>
  </si>
  <si>
    <t xml:space="preserve">Area Proximity Warning</t>
  </si>
  <si>
    <t xml:space="preserve">Alert when aircraft will penetrate a restricted/danger volume.</t>
  </si>
  <si>
    <t xml:space="preserve">Cảnh báo tiến gần vùng</t>
  </si>
  <si>
    <t xml:space="preserve">Eurocontrol</t>
  </si>
  <si>
    <t xml:space="preserve">SUA protection.</t>
  </si>
  <si>
    <t xml:space="preserve">T0290</t>
  </si>
  <si>
    <t xml:space="preserve">Runway Collision Avoidance</t>
  </si>
  <si>
    <t xml:space="preserve">RIMCAS</t>
  </si>
  <si>
    <t xml:space="preserve">A-SMGCS function alerting on conflicting runway occupancy.</t>
  </si>
  <si>
    <t xml:space="preserve">Cảnh báo xung đột đường CHC</t>
  </si>
  <si>
    <t xml:space="preserve">Doc 9830</t>
  </si>
  <si>
    <t xml:space="preserve">A-SMGCS Level 2+.</t>
  </si>
  <si>
    <t xml:space="preserve">A-SMGCS</t>
  </si>
  <si>
    <t xml:space="preserve">T0291</t>
  </si>
  <si>
    <t xml:space="preserve">Advanced Surface Movement Guidance and Control System.</t>
  </si>
  <si>
    <t xml:space="preserve">Hệ thống hướng dẫn và kiểm soát di chuyển mặt đất tiên tiến</t>
  </si>
  <si>
    <t xml:space="preserve">Levels 1–4.</t>
  </si>
  <si>
    <t xml:space="preserve">SMR</t>
  </si>
  <si>
    <t xml:space="preserve">T0292</t>
  </si>
  <si>
    <t xml:space="preserve">Change Management</t>
  </si>
  <si>
    <t xml:space="preserve">Formal process to identify hazards introduced by operational/technical/organizational change.</t>
  </si>
  <si>
    <t xml:space="preserve">Quản lý thay đổi</t>
  </si>
  <si>
    <t xml:space="preserve">New SID, new CWP, roster change.</t>
  </si>
  <si>
    <t xml:space="preserve">T0293</t>
  </si>
  <si>
    <t xml:space="preserve">Safety Case</t>
  </si>
  <si>
    <t xml:space="preserve">Document</t>
  </si>
  <si>
    <t xml:space="preserve">A structured argument, supported by evidence, that a system is safe for a given application in a given environment.</t>
  </si>
  <si>
    <t xml:space="preserve">Hồ sơ an toàn</t>
  </si>
  <si>
    <t xml:space="preserve">ANS SMS practice</t>
  </si>
  <si>
    <t xml:space="preserve">Used for new ATM systems.</t>
  </si>
  <si>
    <t xml:space="preserve">T0294</t>
  </si>
  <si>
    <t xml:space="preserve">Unit Safety Case</t>
  </si>
  <si>
    <t xml:space="preserve">Safety argument for an ATS unit.</t>
  </si>
  <si>
    <t xml:space="preserve">Hồ sơ an toàn đơn vị</t>
  </si>
  <si>
    <t xml:space="preserve">CANSO / Eurocontrol</t>
  </si>
  <si>
    <t xml:space="preserve">Living document.</t>
  </si>
  <si>
    <t xml:space="preserve">T0295</t>
  </si>
  <si>
    <t xml:space="preserve">Human Factors</t>
  </si>
  <si>
    <t xml:space="preserve">HF</t>
  </si>
  <si>
    <t xml:space="preserve">Discipline concerned with understanding interactions among humans and other elements of a system.</t>
  </si>
  <si>
    <t xml:space="preserve">Yếu tố con người</t>
  </si>
  <si>
    <t xml:space="preserve">Doc 9683 / Doc 9806</t>
  </si>
  <si>
    <t xml:space="preserve">SHEL / TEM.</t>
  </si>
  <si>
    <t xml:space="preserve">TEM</t>
  </si>
  <si>
    <t xml:space="preserve">T0296</t>
  </si>
  <si>
    <t xml:space="preserve">Threat and Error Management</t>
  </si>
  <si>
    <t xml:space="preserve">Concept of managing operational threats and errors to maintain safety margins.</t>
  </si>
  <si>
    <t xml:space="preserve">Quản lý đe dọa và sai sót</t>
  </si>
  <si>
    <t xml:space="preserve">ICAO TEM</t>
  </si>
  <si>
    <t xml:space="preserve">Used in ATC training.</t>
  </si>
  <si>
    <t xml:space="preserve">TRM</t>
  </si>
  <si>
    <t xml:space="preserve">T0297</t>
  </si>
  <si>
    <t xml:space="preserve">Team Resource Management</t>
  </si>
  <si>
    <t xml:space="preserve">ATM adaptation of CRM for ATC teams.</t>
  </si>
  <si>
    <t xml:space="preserve">Quản lý nguồn lực tổ bay/kíp trực</t>
  </si>
  <si>
    <t xml:space="preserve">Eurocontrol TRM</t>
  </si>
  <si>
    <t xml:space="preserve">Communication, workload.</t>
  </si>
  <si>
    <t xml:space="preserve">T0298</t>
  </si>
  <si>
    <t xml:space="preserve">Crew Resource Management</t>
  </si>
  <si>
    <t xml:space="preserve">Use of all available resources by flight crew to ensure safe operations.</t>
  </si>
  <si>
    <t xml:space="preserve">Quản lý nguồn lực tổ lái</t>
  </si>
  <si>
    <t xml:space="preserve">Annex 6 / Doc 9683</t>
  </si>
  <si>
    <t xml:space="preserve">Parallel to TRM.</t>
  </si>
  <si>
    <t xml:space="preserve">T0299</t>
  </si>
  <si>
    <t xml:space="preserve">Normal Operations Safety Survey</t>
  </si>
  <si>
    <t xml:space="preserve">NOSS</t>
  </si>
  <si>
    <t xml:space="preserve">Observational survey of threats/errors in live ATC operations (TEM-based).</t>
  </si>
  <si>
    <t xml:space="preserve">Khảo sát an toàn khai thác bình thường</t>
  </si>
  <si>
    <t xml:space="preserve">CANSO / ICAO</t>
  </si>
  <si>
    <t xml:space="preserve">Complement to investigations.</t>
  </si>
  <si>
    <t xml:space="preserve">T0300</t>
  </si>
  <si>
    <t xml:space="preserve">Investigation</t>
  </si>
  <si>
    <t xml:space="preserve">Process conducted to prevent recurrence, not to apportion blame (Annex 13 philosophy).</t>
  </si>
  <si>
    <t xml:space="preserve">Điều tra sự cố/tai nạn</t>
  </si>
  <si>
    <t xml:space="preserve">Annex 13</t>
  </si>
  <si>
    <t xml:space="preserve">ATS occurrence investigation.</t>
  </si>
  <si>
    <t xml:space="preserve">T0301</t>
  </si>
  <si>
    <t xml:space="preserve">Accident</t>
  </si>
  <si>
    <t xml:space="preserve">Occurrence associated with the operation of an aircraft in which a person is fatally or seriously injured, or the aircraft sustains substantial damage or is missing, with specified exceptions.</t>
  </si>
  <si>
    <t xml:space="preserve">Tai nạn</t>
  </si>
  <si>
    <t xml:space="preserve">AAISD / CAAV.</t>
  </si>
  <si>
    <t xml:space="preserve">Incident</t>
  </si>
  <si>
    <t xml:space="preserve">T0302</t>
  </si>
  <si>
    <t xml:space="preserve">An occurrence, other than an accident, associated with the operation of an aircraft which affects or could affect the safety of operation.</t>
  </si>
  <si>
    <t xml:space="preserve">Sự cố</t>
  </si>
  <si>
    <t xml:space="preserve">Serious incident separately defined.</t>
  </si>
  <si>
    <t xml:space="preserve">T0303</t>
  </si>
  <si>
    <t xml:space="preserve">Serious Incident</t>
  </si>
  <si>
    <t xml:space="preserve">An incident involving circumstances indicating that there was a high probability of an accident.</t>
  </si>
  <si>
    <t xml:space="preserve">Sự cố nghiêm trọng</t>
  </si>
  <si>
    <t xml:space="preserve">Annex 13 Attachment C examples.</t>
  </si>
  <si>
    <t xml:space="preserve">Airprox A</t>
  </si>
  <si>
    <t xml:space="preserve">T0304</t>
  </si>
  <si>
    <t xml:space="preserve">Runway Safety Team</t>
  </si>
  <si>
    <t xml:space="preserve">RST</t>
  </si>
  <si>
    <t xml:space="preserve">Team at an aerodrome implementing the runway safety programme.</t>
  </si>
  <si>
    <t xml:space="preserve">Tổ an toàn đường CHC</t>
  </si>
  <si>
    <t xml:space="preserve">TWR + airport + operators.</t>
  </si>
  <si>
    <t xml:space="preserve">Incursion</t>
  </si>
  <si>
    <t xml:space="preserve">T0305</t>
  </si>
  <si>
    <t xml:space="preserve">Fatigue-related Accident</t>
  </si>
  <si>
    <t xml:space="preserve">FRMS</t>
  </si>
  <si>
    <t xml:space="preserve">Accident in which fatigue was a contributing factor.</t>
  </si>
  <si>
    <t xml:space="preserve">Tai nạn liên quan mệt mỏi</t>
  </si>
  <si>
    <t xml:space="preserve">Doc 9966</t>
  </si>
  <si>
    <t xml:space="preserve">Link to FRMS.</t>
  </si>
  <si>
    <t xml:space="preserve">T0306</t>
  </si>
  <si>
    <t xml:space="preserve">Fatigue</t>
  </si>
  <si>
    <t xml:space="preserve">A physiological state of reduced mental or physical performance capability resulting from sleep loss, extended wakefulness, circadian phase, and/or workload (mental and/or physical activity) that can impair a person’s alertness and ability to perform safety-related operational duties.</t>
  </si>
  <si>
    <t xml:space="preserve">Mệt mỏi</t>
  </si>
  <si>
    <t xml:space="preserve">Annex 11; Doc 9966</t>
  </si>
  <si>
    <t xml:space="preserve">ATS-specific definition in Doc 9966.</t>
  </si>
  <si>
    <t xml:space="preserve">Alertness</t>
  </si>
  <si>
    <t xml:space="preserve">T0307</t>
  </si>
  <si>
    <t xml:space="preserve">Fatigue Risk Management System</t>
  </si>
  <si>
    <t xml:space="preserve">A data-driven means of continuously monitoring and managing fatigue-related safety risks, based upon scientific principles, knowledge and operational experience that aims to ensure relevant personnel are performing at adequate levels of alertness.</t>
  </si>
  <si>
    <t xml:space="preserve">Hệ thống quản lý rủi ro mệt mỏi</t>
  </si>
  <si>
    <t xml:space="preserve">Doc 9966; Annex 11 2.28</t>
  </si>
  <si>
    <t xml:space="preserve">Complements prescriptive limits.</t>
  </si>
  <si>
    <t xml:space="preserve">T0308</t>
  </si>
  <si>
    <t xml:space="preserve">Prescriptive Fatigue Limitations</t>
  </si>
  <si>
    <t xml:space="preserve">Rule</t>
  </si>
  <si>
    <t xml:space="preserve">Duty-time and rest limitations prescribed by the State / provider.</t>
  </si>
  <si>
    <t xml:space="preserve">Giới hạn mệt mỏi theo quy định</t>
  </si>
  <si>
    <t xml:space="preserve">Max duty, min rest, nights.</t>
  </si>
  <si>
    <t xml:space="preserve">T0309</t>
  </si>
  <si>
    <t xml:space="preserve">Duty Period</t>
  </si>
  <si>
    <t xml:space="preserve">Roster</t>
  </si>
  <si>
    <t xml:space="preserve">Period which starts when ATS personnel are required by an ATS provider to report for or to commence a duty and ends when that person is free from all duties.</t>
  </si>
  <si>
    <t xml:space="preserve">Thời gian trực / làm nhiệm vụ</t>
  </si>
  <si>
    <t xml:space="preserve">Includes handover.</t>
  </si>
  <si>
    <t xml:space="preserve">Rest period</t>
  </si>
  <si>
    <t xml:space="preserve">T0310</t>
  </si>
  <si>
    <t xml:space="preserve">Rest Period</t>
  </si>
  <si>
    <t xml:space="preserve">A continuous and defined period of time, subsequent to and/or prior to duty, during which ATS personnel are free of all duties.</t>
  </si>
  <si>
    <t xml:space="preserve">Thời gian nghỉ</t>
  </si>
  <si>
    <t xml:space="preserve">Local vs layover.</t>
  </si>
  <si>
    <t xml:space="preserve">Sleep opportunity</t>
  </si>
  <si>
    <t xml:space="preserve">T0311</t>
  </si>
  <si>
    <t xml:space="preserve">Shift</t>
  </si>
  <si>
    <t xml:space="preserve">A scheduled period of duty.</t>
  </si>
  <si>
    <t xml:space="preserve">Ca trực</t>
  </si>
  <si>
    <t xml:space="preserve">Ops / Doc 9966</t>
  </si>
  <si>
    <t xml:space="preserve">Day / swing / night.</t>
  </si>
  <si>
    <t xml:space="preserve">T0312</t>
  </si>
  <si>
    <t xml:space="preserve">Night Duty</t>
  </si>
  <si>
    <t xml:space="preserve">Duty that infringes the WOCL (typically 02:00–05:59 local).</t>
  </si>
  <si>
    <t xml:space="preserve">Ca đêm</t>
  </si>
  <si>
    <t xml:space="preserve">Doc 9966 / EASA CS</t>
  </si>
  <si>
    <t xml:space="preserve">Highest fatigue risk.</t>
  </si>
  <si>
    <t xml:space="preserve">WOCL</t>
  </si>
  <si>
    <t xml:space="preserve">T0313</t>
  </si>
  <si>
    <t xml:space="preserve">Window of Circadian Low</t>
  </si>
  <si>
    <t xml:space="preserve">Science</t>
  </si>
  <si>
    <t xml:space="preserve">The period of the circadian body clock cycle when subjective fatigue and sleepiness are greatest and performance is most degraded; typically 02:00–05:59.</t>
  </si>
  <si>
    <t xml:space="preserve">Cửa sổ sinh học thấp</t>
  </si>
  <si>
    <t xml:space="preserve">Avoid critical tasks unaided.</t>
  </si>
  <si>
    <t xml:space="preserve">Circadian</t>
  </si>
  <si>
    <t xml:space="preserve">T0314</t>
  </si>
  <si>
    <t xml:space="preserve">Circadian Rhythm</t>
  </si>
  <si>
    <t xml:space="preserve">Endogenous ~24 h biological rhythm driving sleep propensity, alertness and many physiological functions.</t>
  </si>
  <si>
    <t xml:space="preserve">Nhịp sinh học</t>
  </si>
  <si>
    <t xml:space="preserve">Jet lag / shift lag.</t>
  </si>
  <si>
    <t xml:space="preserve">Process C</t>
  </si>
  <si>
    <t xml:space="preserve">T0315</t>
  </si>
  <si>
    <t xml:space="preserve">Circadian process in the two-/three-process model of alertness.</t>
  </si>
  <si>
    <t xml:space="preserve">Quá trình C (sinh học)</t>
  </si>
  <si>
    <t xml:space="preserve">Åkerstedt / Folkard models</t>
  </si>
  <si>
    <t xml:space="preserve">CAS tools.</t>
  </si>
  <si>
    <t xml:space="preserve">Process S</t>
  </si>
  <si>
    <t xml:space="preserve">T0316</t>
  </si>
  <si>
    <t xml:space="preserve">Homeostatic sleep pressure that increases with time awake and decreases with sleep.</t>
  </si>
  <si>
    <t xml:space="preserve">Quá trình S (áp lực ngủ)</t>
  </si>
  <si>
    <t xml:space="preserve">Two-process model</t>
  </si>
  <si>
    <t xml:space="preserve">Long duty without nap.</t>
  </si>
  <si>
    <t xml:space="preserve">Sleep debt</t>
  </si>
  <si>
    <t xml:space="preserve">T0317</t>
  </si>
  <si>
    <t xml:space="preserve">Process W</t>
  </si>
  <si>
    <t xml:space="preserve">Sleep inertia component in three-process models.</t>
  </si>
  <si>
    <t xml:space="preserve">Quá trình W (quán tính ngủ)</t>
  </si>
  <si>
    <t xml:space="preserve">Three-process model</t>
  </si>
  <si>
    <t xml:space="preserve">First 20–30 min after wake/nap.</t>
  </si>
  <si>
    <t xml:space="preserve">Nap</t>
  </si>
  <si>
    <t xml:space="preserve">T0318</t>
  </si>
  <si>
    <t xml:space="preserve">Sleep Inertia</t>
  </si>
  <si>
    <t xml:space="preserve">Temporary grogginess and performance impairment immediately after awakening.</t>
  </si>
  <si>
    <t xml:space="preserve">Quán tính ngủ</t>
  </si>
  <si>
    <t xml:space="preserve">Controlled nap policy needed.</t>
  </si>
  <si>
    <t xml:space="preserve">T0319</t>
  </si>
  <si>
    <t xml:space="preserve">Sleep Debt</t>
  </si>
  <si>
    <t xml:space="preserve">Accumulated deficit relative to an individual’s sleep need.</t>
  </si>
  <si>
    <t xml:space="preserve">Nợ ngủ</t>
  </si>
  <si>
    <t xml:space="preserve">Builds across night series.</t>
  </si>
  <si>
    <t xml:space="preserve">Recovery sleep</t>
  </si>
  <si>
    <t xml:space="preserve">T0320</t>
  </si>
  <si>
    <t xml:space="preserve">Controlled Rest / Nap</t>
  </si>
  <si>
    <t xml:space="preserve">Short sleep opportunity on duty under defined conditions (where permitted).</t>
  </si>
  <si>
    <t xml:space="preserve">Nghỉ kiểm soát / ngủ ngắn</t>
  </si>
  <si>
    <t xml:space="preserve">Doc 9966 / some ANSPs</t>
  </si>
  <si>
    <t xml:space="preserve">Not universally authorized for ATC.</t>
  </si>
  <si>
    <t xml:space="preserve">Sleep inertia</t>
  </si>
  <si>
    <t xml:space="preserve">T0321</t>
  </si>
  <si>
    <t xml:space="preserve">Bio-mathematical Model</t>
  </si>
  <si>
    <t xml:space="preserve">BMM</t>
  </si>
  <si>
    <t xml:space="preserve">Model estimating fatigue/alertness from sleep/wake and duty history (e.g. SAFTE-FAST, CAST, three-process).</t>
  </si>
  <si>
    <t xml:space="preserve">Mô hình toán sinh học</t>
  </si>
  <si>
    <t xml:space="preserve">Predictive FRMS pillar.</t>
  </si>
  <si>
    <t xml:space="preserve">CAS</t>
  </si>
  <si>
    <t xml:space="preserve">T0322</t>
  </si>
  <si>
    <t xml:space="preserve">Cumulative Actuarial Score / CAS-type score</t>
  </si>
  <si>
    <t xml:space="preserve">Operational fatigue score derived from circadian, sleep pressure and inertia components used in roster risk tools.</t>
  </si>
  <si>
    <t xml:space="preserve">Điểm mệt mỏi CAS</t>
  </si>
  <si>
    <t xml:space="preserve">Scientific FRMS practice</t>
  </si>
  <si>
    <t xml:space="preserve">Used in ATC roster design.</t>
  </si>
  <si>
    <t xml:space="preserve">T0323</t>
  </si>
  <si>
    <t xml:space="preserve">Fatigue Report</t>
  </si>
  <si>
    <t xml:space="preserve">Safety report specifically identifying fatigue as a factor or concern.</t>
  </si>
  <si>
    <t xml:space="preserve">Báo cáo mệt mỏi</t>
  </si>
  <si>
    <t xml:space="preserve">Confidential preferred.</t>
  </si>
  <si>
    <t xml:space="preserve">T0324</t>
  </si>
  <si>
    <t xml:space="preserve">Fatigue Survey</t>
  </si>
  <si>
    <t xml:space="preserve">Proactive collection of subjective fatigue/sleepiness ratings (KSS, Samn-Perelli) and sleep diaries.</t>
  </si>
  <si>
    <t xml:space="preserve">Khảo sát mệt mỏi</t>
  </si>
  <si>
    <t xml:space="preserve">Prior to roster change.</t>
  </si>
  <si>
    <t xml:space="preserve">KSS</t>
  </si>
  <si>
    <t xml:space="preserve">T0325</t>
  </si>
  <si>
    <t xml:space="preserve">Karolinska Sleepiness Scale</t>
  </si>
  <si>
    <t xml:space="preserve">9-point subjective sleepiness scale widely used in FRMS.</t>
  </si>
  <si>
    <t xml:space="preserve">Thang buồn ngủ Karolinska</t>
  </si>
  <si>
    <t xml:space="preserve">Åkerstedt</t>
  </si>
  <si>
    <t xml:space="preserve">In-shift ratings.</t>
  </si>
  <si>
    <t xml:space="preserve">SP</t>
  </si>
  <si>
    <t xml:space="preserve">T0326</t>
  </si>
  <si>
    <t xml:space="preserve">Samn-Perelli Scale</t>
  </si>
  <si>
    <t xml:space="preserve">7-point fatigue scale used in aviation.</t>
  </si>
  <si>
    <t xml:space="preserve">Thang mệt mỏi Samn-Perelli</t>
  </si>
  <si>
    <t xml:space="preserve">Samn &amp; Perelli 1982</t>
  </si>
  <si>
    <t xml:space="preserve">Complement KSS.</t>
  </si>
  <si>
    <t xml:space="preserve">T0327</t>
  </si>
  <si>
    <t xml:space="preserve">Psychomotor Vigilance Task</t>
  </si>
  <si>
    <t xml:space="preserve">PVT</t>
  </si>
  <si>
    <t xml:space="preserve">Objective reaction-time test sensitive to fatigue.</t>
  </si>
  <si>
    <t xml:space="preserve">Bài kiểm tra cảnh giác tâm vận</t>
  </si>
  <si>
    <t xml:space="preserve">FRMS science</t>
  </si>
  <si>
    <t xml:space="preserve">Research / targeted studies.</t>
  </si>
  <si>
    <t xml:space="preserve">T0328</t>
  </si>
  <si>
    <t xml:space="preserve">State of being able to detect and respond to operationally relevant stimuli; inverse of sleepiness.</t>
  </si>
  <si>
    <t xml:space="preserve">Độ tỉnh táo</t>
  </si>
  <si>
    <t xml:space="preserve">FRMS objective.</t>
  </si>
  <si>
    <t xml:space="preserve">T0329</t>
  </si>
  <si>
    <t xml:space="preserve">Workload</t>
  </si>
  <si>
    <t xml:space="preserve">Demand placed upon personnel by the operational environment, including task load, complexity and time pressure.</t>
  </si>
  <si>
    <t xml:space="preserve">Tải công việc</t>
  </si>
  <si>
    <t xml:space="preserve">Doc 9966 / HF</t>
  </si>
  <si>
    <t xml:space="preserve">Interacts with fatigue.</t>
  </si>
  <si>
    <t xml:space="preserve">Sector capacity</t>
  </si>
  <si>
    <t xml:space="preserve">T0330</t>
  </si>
  <si>
    <t xml:space="preserve">Recovery Sleep</t>
  </si>
  <si>
    <t xml:space="preserve">Sleep obtained after a duty sequence sufficient to restore baseline alertness.</t>
  </si>
  <si>
    <t xml:space="preserve">Giấc ngủ phục hồi</t>
  </si>
  <si>
    <t xml:space="preserve">At least one full night, often two after nights.</t>
  </si>
  <si>
    <t xml:space="preserve">T0331</t>
  </si>
  <si>
    <t xml:space="preserve">Forward Rotation</t>
  </si>
  <si>
    <t xml:space="preserve">Shift pattern rotating day → evening → night (direction of clock).</t>
  </si>
  <si>
    <t xml:space="preserve">Xoay ca thuận</t>
  </si>
  <si>
    <t xml:space="preserve">Generally better tolerated than backward.</t>
  </si>
  <si>
    <t xml:space="preserve">T0332</t>
  </si>
  <si>
    <t xml:space="preserve">Backward Rotation</t>
  </si>
  <si>
    <t xml:space="preserve">Night → evening → day rotation.</t>
  </si>
  <si>
    <t xml:space="preserve">Xoay ca nghịch</t>
  </si>
  <si>
    <t xml:space="preserve">Higher fatigue risk.</t>
  </si>
  <si>
    <t xml:space="preserve">Forward rotation</t>
  </si>
  <si>
    <t xml:space="preserve">T0333</t>
  </si>
  <si>
    <t xml:space="preserve">Quick Return</t>
  </si>
  <si>
    <t xml:space="preserve">Short off-duty interval between two duties (e.g. &lt;11 h).</t>
  </si>
  <si>
    <t xml:space="preserve">Khoảng nghỉ ngắn giữa hai ca</t>
  </si>
  <si>
    <t xml:space="preserve">Doc 9966 / EASA</t>
  </si>
  <si>
    <t xml:space="preserve">Limits sleep opportunity.</t>
  </si>
  <si>
    <t xml:space="preserve">T0334</t>
  </si>
  <si>
    <t xml:space="preserve">Handover / Briefing Time</t>
  </si>
  <si>
    <t xml:space="preserve">Time allocated at start/end of duty for position relief briefing; part of duty.</t>
  </si>
  <si>
    <t xml:space="preserve">Thời gian bàn giao</t>
  </si>
  <si>
    <t xml:space="preserve">ATS ops</t>
  </si>
  <si>
    <t xml:space="preserve">Safety-critical communication.</t>
  </si>
  <si>
    <t xml:space="preserve">T0335</t>
  </si>
  <si>
    <t xml:space="preserve">Maximum Consecutive Night Duties</t>
  </si>
  <si>
    <t xml:space="preserve">Limit on number of night shifts in a row.</t>
  </si>
  <si>
    <t xml:space="preserve">Số ca đêm liên tiếp tối đa</t>
  </si>
  <si>
    <t xml:space="preserve">Prescriptive scheme</t>
  </si>
  <si>
    <t xml:space="preserve">Often 2–3 in ATC.</t>
  </si>
  <si>
    <t xml:space="preserve">T0336</t>
  </si>
  <si>
    <t xml:space="preserve">Minimum Rest After Night Duty</t>
  </si>
  <si>
    <t xml:space="preserve">Extended rest following night duty to allow recovery sleep.</t>
  </si>
  <si>
    <t xml:space="preserve">Nghỉ tối thiểu sau ca đêm</t>
  </si>
  <si>
    <t xml:space="preserve">Prescriptive / FRMS</t>
  </si>
  <si>
    <t xml:space="preserve">Often ≥ 12–14 h local.</t>
  </si>
  <si>
    <t xml:space="preserve">T0337</t>
  </si>
  <si>
    <t xml:space="preserve">Standby</t>
  </si>
  <si>
    <t xml:space="preserve">Period during which a person is required to be available for duty if called.</t>
  </si>
  <si>
    <t xml:space="preserve">Trực sẵn sàng</t>
  </si>
  <si>
    <t xml:space="preserve">May count partly as duty.</t>
  </si>
  <si>
    <t xml:space="preserve">Duty period</t>
  </si>
  <si>
    <t xml:space="preserve">T0338</t>
  </si>
  <si>
    <t xml:space="preserve">On-call</t>
  </si>
  <si>
    <t xml:space="preserve">Availability outside the workplace.</t>
  </si>
  <si>
    <t xml:space="preserve">Trực từ xa</t>
  </si>
  <si>
    <t xml:space="preserve">Provider rules</t>
  </si>
  <si>
    <t xml:space="preserve">Sleep disruption risk.</t>
  </si>
  <si>
    <t xml:space="preserve">T0339</t>
  </si>
  <si>
    <t xml:space="preserve">Non-duty Day</t>
  </si>
  <si>
    <t xml:space="preserve">Calendar day free of all duty and standby.</t>
  </si>
  <si>
    <t xml:space="preserve">Ngày không trực</t>
  </si>
  <si>
    <t xml:space="preserve">Roster rules</t>
  </si>
  <si>
    <t xml:space="preserve">Local night sleep protected.</t>
  </si>
  <si>
    <t xml:space="preserve">T0340</t>
  </si>
  <si>
    <t xml:space="preserve">Fatigue Safety Action Group</t>
  </si>
  <si>
    <t xml:space="preserve">FSAG</t>
  </si>
  <si>
    <t xml:space="preserve">Cross-functional group that oversees FRMS processes.</t>
  </si>
  <si>
    <t xml:space="preserve">Tổ hành động an toàn mệt mỏi</t>
  </si>
  <si>
    <t xml:space="preserve">Roster + SMS + medical.</t>
  </si>
  <si>
    <t xml:space="preserve">T0341</t>
  </si>
  <si>
    <t xml:space="preserve">Predictive FRMS</t>
  </si>
  <si>
    <t xml:space="preserve">Pillar</t>
  </si>
  <si>
    <t xml:space="preserve">Use of previous experience, bio-math models and roster rules to estimate fatigue before operations.</t>
  </si>
  <si>
    <t xml:space="preserve">FRMS dự báo</t>
  </si>
  <si>
    <t xml:space="preserve">Roster construction.</t>
  </si>
  <si>
    <t xml:space="preserve">T0342</t>
  </si>
  <si>
    <t xml:space="preserve">Proactive FRMS</t>
  </si>
  <si>
    <t xml:space="preserve">Monitoring actual fatigue in current operations (surveys, PVT, reports).</t>
  </si>
  <si>
    <t xml:space="preserve">FRMS chủ động</t>
  </si>
  <si>
    <t xml:space="preserve">KSS sampling.</t>
  </si>
  <si>
    <t xml:space="preserve">T0343</t>
  </si>
  <si>
    <t xml:space="preserve">Reactive FRMS</t>
  </si>
  <si>
    <t xml:space="preserve">Analysis of fatigue contribution after events.</t>
  </si>
  <si>
    <t xml:space="preserve">FRMS phản ứng</t>
  </si>
  <si>
    <t xml:space="preserve">Investigation checklist.</t>
  </si>
  <si>
    <t xml:space="preserve">T0344</t>
  </si>
  <si>
    <t xml:space="preserve">ICAO Doc 9966</t>
  </si>
  <si>
    <t xml:space="preserve">Manual for the Oversight of Fatigue Management Approaches.</t>
  </si>
  <si>
    <t xml:space="preserve">Tài liệu hướng dẫn giám sát quản lý mệt mỏi</t>
  </si>
  <si>
    <t xml:space="preserve">Doc 9966 2nd ed</t>
  </si>
  <si>
    <t xml:space="preserve">ATS chapter included.</t>
  </si>
  <si>
    <t xml:space="preserve">T0345</t>
  </si>
  <si>
    <t xml:space="preserve">Annex 11 Fatigue Provisions</t>
  </si>
  <si>
    <t xml:space="preserve">Standards requiring States to have prescriptive limitation schemes and/or FRMS for ATCOs.</t>
  </si>
  <si>
    <t xml:space="preserve">Quy định mệt mỏi Phụ ước 11</t>
  </si>
  <si>
    <t xml:space="preserve">Annex 11 §2.28</t>
  </si>
  <si>
    <t xml:space="preserve">Applicable to VATM context.</t>
  </si>
  <si>
    <t xml:space="preserve">T0346</t>
  </si>
  <si>
    <t xml:space="preserve">CANSO Fatigue Management Guide</t>
  </si>
  <si>
    <t xml:space="preserve">Guide</t>
  </si>
  <si>
    <t xml:space="preserve">Industry guide for ATS providers implementing fatigue management.</t>
  </si>
  <si>
    <t xml:space="preserve">Hướng dẫn quản lý mệt mỏi CANSO</t>
  </si>
  <si>
    <t xml:space="preserve">CANSO / ICAO / IFATCA</t>
  </si>
  <si>
    <t xml:space="preserve">Practical ANSP tool.</t>
  </si>
  <si>
    <t xml:space="preserve">T0347</t>
  </si>
  <si>
    <t xml:space="preserve">IFATCA Fatigue Policy</t>
  </si>
  <si>
    <t xml:space="preserve">Controller association policy positions on duty limits and FRMS.</t>
  </si>
  <si>
    <t xml:space="preserve">Chính sách mệt mỏi IFATCA</t>
  </si>
  <si>
    <t xml:space="preserve">IFATCA</t>
  </si>
  <si>
    <t xml:space="preserve">Social + safety.</t>
  </si>
  <si>
    <t xml:space="preserve">T0348</t>
  </si>
  <si>
    <t xml:space="preserve">Sector Capacity</t>
  </si>
  <si>
    <t xml:space="preserve">Declared number of aircraft an ATCO/sector can handle safely in a given period.</t>
  </si>
  <si>
    <t xml:space="preserve">Năng lực khu vực kiểm soát</t>
  </si>
  <si>
    <t xml:space="preserve">Doc 4444 Ch.3</t>
  </si>
  <si>
    <t xml:space="preserve">ATFM input; workload driver.</t>
  </si>
  <si>
    <t xml:space="preserve">T0349</t>
  </si>
  <si>
    <t xml:space="preserve">Position Relief Briefing</t>
  </si>
  <si>
    <t xml:space="preserve">PRB</t>
  </si>
  <si>
    <t xml:space="preserve">Structured transfer of operational picture at handover.</t>
  </si>
  <si>
    <t xml:space="preserve">Briefing bàn giao vị trí</t>
  </si>
  <si>
    <t xml:space="preserve">Doc 4444 / HF</t>
  </si>
  <si>
    <t xml:space="preserve">Threats, traffic, weather, equipment.</t>
  </si>
  <si>
    <t xml:space="preserve">02 · AIR TRAFFIC CONTROL</t>
  </si>
  <si>
    <t xml:space="preserve">03 · AIRSPACE / ASM / ATFM / PBN</t>
  </si>
  <si>
    <t xml:space="preserve">04 · AIS / AIM / NOTAM / FLIGHT PLAN</t>
  </si>
  <si>
    <t xml:space="preserve">05 · AERONAUTICAL METEOROLOGY</t>
  </si>
  <si>
    <t xml:space="preserve">06 · FLIGHT PROCEDURE DESIGN (PANS-OPS)</t>
  </si>
  <si>
    <t xml:space="preserve">07 · AVIATION SAFETY / SMS / HF</t>
  </si>
  <si>
    <t xml:space="preserve">08 · FATIGUE RISK MANAGEMENT</t>
  </si>
  <si>
    <t xml:space="preserve">09 · ABBREVIATIONS / ACRONYMS</t>
  </si>
  <si>
    <t xml:space="preserve">Abbr</t>
  </si>
  <si>
    <t xml:space="preserve">Expansion_EN</t>
  </si>
  <si>
    <t xml:space="preserve">Expansion_VI</t>
  </si>
  <si>
    <t xml:space="preserve">Approach Control</t>
  </si>
  <si>
    <t xml:space="preserve">Ground Control</t>
  </si>
  <si>
    <t xml:space="preserve">Kiểm soát mặt đất</t>
  </si>
  <si>
    <t xml:space="preserve">Phương thức khởi hành chuẩn</t>
  </si>
  <si>
    <t xml:space="preserve">Phương thức đến chuẩn</t>
  </si>
  <si>
    <t xml:space="preserve">Điểm tiếp cận cuối 3D</t>
  </si>
  <si>
    <t xml:space="preserve">DA</t>
  </si>
  <si>
    <t xml:space="preserve">Decision Altitude</t>
  </si>
  <si>
    <t xml:space="preserve">Decision Height</t>
  </si>
  <si>
    <t xml:space="preserve">Chiều cao quyết định</t>
  </si>
  <si>
    <t xml:space="preserve">Minimum Descent Altitude</t>
  </si>
  <si>
    <t xml:space="preserve">MDH</t>
  </si>
  <si>
    <t xml:space="preserve">Minimum Descent Height</t>
  </si>
  <si>
    <t xml:space="preserve">Chiều cao hạ thấp tối thiểu</t>
  </si>
  <si>
    <t xml:space="preserve">OCH</t>
  </si>
  <si>
    <t xml:space="preserve">Obstacle Clearance Height</t>
  </si>
  <si>
    <t xml:space="preserve">Chiều cao vượt chướng ngại</t>
  </si>
  <si>
    <t xml:space="preserve">OCA</t>
  </si>
  <si>
    <t xml:space="preserve">Obstacle Clearance Altitude</t>
  </si>
  <si>
    <t xml:space="preserve">QNH pressure setting</t>
  </si>
  <si>
    <t xml:space="preserve">Áp suất QNH</t>
  </si>
  <si>
    <t xml:space="preserve">QFE pressure setting</t>
  </si>
  <si>
    <t xml:space="preserve">Áp suất QFE</t>
  </si>
  <si>
    <t xml:space="preserve">Automatic Dependent Surveillance — Broadcast</t>
  </si>
  <si>
    <t xml:space="preserve">Giám sát phụ thuộc tự động phát quảng bá</t>
  </si>
  <si>
    <t xml:space="preserve">Automatic Dependent Surveillance — Contract</t>
  </si>
  <si>
    <t xml:space="preserve">Giám sát phụ thuộc tự động theo hợp đồng</t>
  </si>
  <si>
    <t xml:space="preserve">Controller–Pilot Data Link Communications</t>
  </si>
  <si>
    <t xml:space="preserve">Liên lạc dữ liệu KSV–phi công</t>
  </si>
  <si>
    <t xml:space="preserve">Đa trạm</t>
  </si>
  <si>
    <t xml:space="preserve">Notice to Airmen</t>
  </si>
  <si>
    <t xml:space="preserve">Aeronautical Information Regulation And Control</t>
  </si>
  <si>
    <t xml:space="preserve">Chu kỳ điều chỉnh tin tức hàng không</t>
  </si>
  <si>
    <t xml:space="preserve">Bản tin trước chuyến bay</t>
  </si>
  <si>
    <t xml:space="preserve">Quản lý thông tin toàn hệ thống</t>
  </si>
  <si>
    <t xml:space="preserve">ATS Message Handling System</t>
  </si>
  <si>
    <t xml:space="preserve">Aeronautical Fixed Telecommunication Network</t>
  </si>
  <si>
    <t xml:space="preserve">On-Line Data Interchange</t>
  </si>
  <si>
    <t xml:space="preserve">Aviation routine weather report</t>
  </si>
  <si>
    <t xml:space="preserve">Aviation special weather report</t>
  </si>
  <si>
    <t xml:space="preserve">Terminal Aerodrome Forecast</t>
  </si>
  <si>
    <t xml:space="preserve">Significant meteorological information</t>
  </si>
  <si>
    <t xml:space="preserve">Tin thời tiết nguy hiểm đường bay</t>
  </si>
  <si>
    <t xml:space="preserve">Airmen's meteorological information</t>
  </si>
  <si>
    <t xml:space="preserve">Tin thời tiết thấp</t>
  </si>
  <si>
    <t xml:space="preserve">Automatic Terminal Information Service</t>
  </si>
  <si>
    <t xml:space="preserve">Định dạng báo cáo toàn cầu mặt đường</t>
  </si>
  <si>
    <t xml:space="preserve">Quản lý nguồn lực kíp trực</t>
  </si>
  <si>
    <t xml:space="preserve">Instrument Landing System</t>
  </si>
  <si>
    <t xml:space="preserve">Hệ thống hạ cánh bằng thiết bị</t>
  </si>
  <si>
    <t xml:space="preserve">VHF Omnidirectional Range</t>
  </si>
  <si>
    <t xml:space="preserve">Đài VOR</t>
  </si>
  <si>
    <t xml:space="preserve">DME</t>
  </si>
  <si>
    <t xml:space="preserve">Distance Measuring Equipment</t>
  </si>
  <si>
    <t xml:space="preserve">Thiết bị đo cự ly</t>
  </si>
  <si>
    <t xml:space="preserve">NDB</t>
  </si>
  <si>
    <t xml:space="preserve">Non-Directional Beacon</t>
  </si>
  <si>
    <t xml:space="preserve">Đài dẫn đường vô hướng</t>
  </si>
  <si>
    <t xml:space="preserve">GBAS</t>
  </si>
  <si>
    <t xml:space="preserve">Ground-Based Augmentation System</t>
  </si>
  <si>
    <t xml:space="preserve">Hệ thống tăng cường mặt đất</t>
  </si>
  <si>
    <t xml:space="preserve">Satellite-Based Augmentation System</t>
  </si>
  <si>
    <t xml:space="preserve">Hệ thống tăng cường vệ tinh</t>
  </si>
  <si>
    <t xml:space="preserve">INCERFA</t>
  </si>
  <si>
    <t xml:space="preserve">Uncertainty phase</t>
  </si>
  <si>
    <t xml:space="preserve">Giai đoạn không chắc chắn</t>
  </si>
  <si>
    <t xml:space="preserve">ALERFA</t>
  </si>
  <si>
    <t xml:space="preserve">Alert phase</t>
  </si>
  <si>
    <t xml:space="preserve">Giai đoạn báo động</t>
  </si>
  <si>
    <t xml:space="preserve">DETRESFA</t>
  </si>
  <si>
    <t xml:space="preserve">Distress phase</t>
  </si>
  <si>
    <t xml:space="preserve">Giai đoạn nguy cấp</t>
  </si>
  <si>
    <t xml:space="preserve">Rescue Coordination Centre</t>
  </si>
  <si>
    <t xml:space="preserve">Trung tâm phối hợp tìm kiếm cứu nạn</t>
  </si>
  <si>
    <t xml:space="preserve">SAR</t>
  </si>
  <si>
    <t xml:space="preserve">Search and Rescue</t>
  </si>
  <si>
    <t xml:space="preserve">Tìm kiếm cứu nạn</t>
  </si>
  <si>
    <t xml:space="preserve">10 · AUTHORITATIVE SOURCES</t>
  </si>
  <si>
    <t xml:space="preserve">Title / Scope</t>
  </si>
  <si>
    <t xml:space="preserve">Use in this glossary</t>
  </si>
  <si>
    <t xml:space="preserve">ICAO Annex 2</t>
  </si>
  <si>
    <t xml:space="preserve">Rules of the Air</t>
  </si>
  <si>
    <t xml:space="preserve">Flight rules, cruising levels, definitions</t>
  </si>
  <si>
    <t xml:space="preserve">ICAO Annex 3</t>
  </si>
  <si>
    <t xml:space="preserve">METAR/TAF/SIGMET/GRF</t>
  </si>
  <si>
    <t xml:space="preserve">ICAO Annex 6</t>
  </si>
  <si>
    <t xml:space="preserve">Operation of Aircraft</t>
  </si>
  <si>
    <t xml:space="preserve">Approach operations, minima</t>
  </si>
  <si>
    <t xml:space="preserve">ICAO Annex 10</t>
  </si>
  <si>
    <t xml:space="preserve">Aeronautical Telecommunications</t>
  </si>
  <si>
    <t xml:space="preserve">SSR, ILS, R/T, AMHS</t>
  </si>
  <si>
    <t xml:space="preserve">ICAO Annex 11</t>
  </si>
  <si>
    <t xml:space="preserve">ATS, airspace, fatigue §2.28</t>
  </si>
  <si>
    <t xml:space="preserve">ICAO Annex 14</t>
  </si>
  <si>
    <t xml:space="preserve">Aerodromes</t>
  </si>
  <si>
    <t xml:space="preserve">RWY, RVR, RESA</t>
  </si>
  <si>
    <t xml:space="preserve">ICAO Annex 15 / Doc 10066 PANS-AIM</t>
  </si>
  <si>
    <t xml:space="preserve">Aeronautical Information Services / AIM</t>
  </si>
  <si>
    <t xml:space="preserve">AIP, NOTAM, AIRAC, AIXM</t>
  </si>
  <si>
    <t xml:space="preserve">ICAO Annex 19 / Doc 9859</t>
  </si>
  <si>
    <t xml:space="preserve">Safety Management</t>
  </si>
  <si>
    <t xml:space="preserve">SMS, SSP, SPI</t>
  </si>
  <si>
    <t xml:space="preserve">ICAO Doc 4444 PANS-ATM</t>
  </si>
  <si>
    <t xml:space="preserve">ATC procedures, phraseology, messages</t>
  </si>
  <si>
    <t xml:space="preserve">ICAO Doc 8168 PANS-OPS</t>
  </si>
  <si>
    <t xml:space="preserve">Aircraft Operations</t>
  </si>
  <si>
    <t xml:space="preserve">IFP design criteria</t>
  </si>
  <si>
    <t xml:space="preserve">ICAO Doc 9613</t>
  </si>
  <si>
    <t xml:space="preserve">PBN Manual</t>
  </si>
  <si>
    <t xml:space="preserve">RNAV/RNP specifications</t>
  </si>
  <si>
    <t xml:space="preserve">ICAO Doc 9906</t>
  </si>
  <si>
    <t xml:space="preserve">QA Manual for Flight Procedure Design</t>
  </si>
  <si>
    <t xml:space="preserve">IFP quality process</t>
  </si>
  <si>
    <t xml:space="preserve">ICAO Doc 9905</t>
  </si>
  <si>
    <t xml:space="preserve">RNP AR Procedure Design Manual</t>
  </si>
  <si>
    <t xml:space="preserve">ICAO Doc 9931</t>
  </si>
  <si>
    <t xml:space="preserve">CDO Manual</t>
  </si>
  <si>
    <t xml:space="preserve">Continuous descent operations</t>
  </si>
  <si>
    <t xml:space="preserve">ICAO Doc 9971</t>
  </si>
  <si>
    <t xml:space="preserve">Manual on ATFM</t>
  </si>
  <si>
    <t xml:space="preserve">Flow management</t>
  </si>
  <si>
    <t xml:space="preserve">Manual for Oversight of Fatigue Management Approaches</t>
  </si>
  <si>
    <t xml:space="preserve">FRMS ATS</t>
  </si>
  <si>
    <t xml:space="preserve">ICAO Doc 9870</t>
  </si>
  <si>
    <t xml:space="preserve">Manual on the Prevention of Runway Incursions</t>
  </si>
  <si>
    <t xml:space="preserve">RST, incursion</t>
  </si>
  <si>
    <t xml:space="preserve">ICAO Doc 9830</t>
  </si>
  <si>
    <t xml:space="preserve">A-SMGCS Manual</t>
  </si>
  <si>
    <t xml:space="preserve">Surface movement</t>
  </si>
  <si>
    <t xml:space="preserve">ICAO Doc 9426</t>
  </si>
  <si>
    <t xml:space="preserve">ATS Planning Manual</t>
  </si>
  <si>
    <t xml:space="preserve">Unit planning, LoA</t>
  </si>
  <si>
    <t xml:space="preserve">ICAO Doc 9432</t>
  </si>
  <si>
    <t xml:space="preserve">Manual of Radiotelephony</t>
  </si>
  <si>
    <t xml:space="preserve">Phraseology training</t>
  </si>
  <si>
    <t xml:space="preserve">ICAO Doc 9574</t>
  </si>
  <si>
    <t xml:space="preserve">RVSM Manual</t>
  </si>
  <si>
    <t xml:space="preserve">1000 ft FL290–410</t>
  </si>
  <si>
    <t xml:space="preserve">ICAO Doc 9683 / 9806</t>
  </si>
  <si>
    <t xml:space="preserve">TEM, HF</t>
  </si>
  <si>
    <t xml:space="preserve">ICAO Doc 9854 / 9882</t>
  </si>
  <si>
    <t xml:space="preserve">Global ATM Operational Concept / ATM System Requirements</t>
  </si>
  <si>
    <t xml:space="preserve">ATM concept</t>
  </si>
  <si>
    <t xml:space="preserve">FAA Pilot/Controller Glossary</t>
  </si>
  <si>
    <t xml:space="preserve">PCG</t>
  </si>
  <si>
    <t xml:space="preserve">Pilot-controller lexicon; ICAO differences marked</t>
  </si>
  <si>
    <t xml:space="preserve">CANSO / IFATCA Fatigue Guides</t>
  </si>
  <si>
    <t xml:space="preserve">Industry FRMS</t>
  </si>
  <si>
    <t xml:space="preserve">ANSP implementation</t>
  </si>
  <si>
    <t xml:space="preserve">Eurocontrol OLDI / ASM / FRA specs</t>
  </si>
  <si>
    <t xml:space="preserve">European ATM</t>
  </si>
  <si>
    <t xml:space="preserve">Coordination, FUA, FRA</t>
  </si>
  <si>
    <t xml:space="preserve">Việt Nam AIP / VATM ops</t>
  </si>
  <si>
    <t xml:space="preserve">National context</t>
  </si>
  <si>
    <t xml:space="preserve">FIR VVTS/VVNB, local TA/TL, class of airspace</t>
  </si>
  <si>
    <t xml:space="preserve">11 · GLOSSARY DASHBOARD</t>
  </si>
  <si>
    <t xml:space="preserve">Term_Count</t>
  </si>
  <si>
    <t xml:space="preserve">Share</t>
  </si>
  <si>
    <t xml:space="preserve">TOTAL</t>
  </si>
  <si>
    <t xml:space="preserve">Abbreviation rows</t>
  </si>
  <si>
    <t xml:space="preserve">Source documents</t>
  </si>
  <si>
    <t xml:space="preserve">Unique abbreviations on master (non-blank)</t>
  </si>
  <si>
    <t xml:space="preserve">Ghi chú tích hợp ERP</t>
  </si>
  <si>
    <t xml:space="preserve">Bảng 01_Master là dimension DIM_ATC_TERM. Term_ID ổn định (T0001…). Domain dùng cho phân quyền module (ATS Ops / AIM / Safety / HR-FRMS). Abbreviation map sang encoder FPL Item 10/18, OLDI, NOTAM Q-code training. Có thể xuất JSON (sheet 12) cho microservice glossary hoặc i18n frontend (en/vi).</t>
  </si>
  <si>
    <t xml:space="preserve">12 · ERP DATA CONTRACT (SQL + JSON)</t>
  </si>
  <si>
    <t xml:space="preserve">Gợi ý triển khai module Từ điển chuyên ngành trên ERP VATM (PostgreSQL / SQL Server)</t>
  </si>
  <si>
    <t xml:space="preserve">CREATE TABLE dim_domain (
  domain_code VARCHAR(16) PRIMARY KEY,  -- ATC, Airspace, AIS, MET, PANS-OPS, Safety, FRMS
  domain_name_en VARCHAR(64) NOT NULL,
  domain_name_vi NVARCHAR(128) NOT NULL
);
CREATE TABLE dim_atc_term (
  term_id        CHAR(5) PRIMARY KEY,          -- T0001
  term_en        VARCHAR(160) NOT NULL,
  abbreviation   VARCHAR(32) NULL,
  domain_code    VARCHAR(16) NOT NULL REFERENCES dim_domain(domain_code),
  subdomain      VARCHAR(64) NOT NULL,
  definition_en  VARCHAR(2000) NOT NULL,
  term_vi        NVARCHAR(256) NOT NULL,
  icao_ref       VARCHAR(128) NULL,
  ops_usage      NVARCHAR(512) NULL,
  related_terms  VARCHAR(256) NULL,
  is_active      BIT NOT NULL DEFAULT 1,
  updated_at     DATETIME2 NOT NULL DEFAULT SYSUTCDATETIME()
);
CREATE UNIQUE INDEX ux_term_en ON dim_atc_term(term_en);
CREATE INDEX ix_term_abbr ON dim_atc_term(abbreviation);
CREATE INDEX ix_term_domain ON dim_atc_term(domain_code);
CREATE TABLE dim_abbreviation (
  abbr VARCHAR(32) NOT NULL,
  expansion_en VARCHAR(256) NOT NULL,
  domain_code VARCHAR(16) NOT NULL,
  expansion_vi NVARCHAR(256) NOT NULL,
  PRIMARY KEY (abbr, domain_code)
);</t>
  </si>
  <si>
    <t xml:space="preserve">JSON payload mẫu cho API GET /api/glossary/{termId}</t>
  </si>
  <si>
    <t xml:space="preserve">{
  "termId": "T0001",
  "termEn": "Air Traffic Control",
  "abbreviation": "ATC",
  "domain": "ATC",
  "subdomain": "Service",
  "definitionEn": "Service operated by appropriate authority...",
  "termVi": "Kiểm soát không lưu",
  "icaoRef": "Annex 11 / Doc 4444",
  "opsUsage": "Core ATS product: TWR / APP / ACC.",
  "relatedTerms": ["ATS", "ATM"]
}</t>
  </si>
  <si>
    <t xml:space="preserve">API gợi ý: GET /glossary?domain=ATC&amp;q=separation ; GET /abbr/STCA ; i18n key = term_id. Frontend search: accent-insensitive trên Term_VI + Term_EN + Abbreviation. Gắn vào module Roster/FRMS (tooltip WOCL, CAS), AIM (Item 18 PBN/), CWP help, e-learning phraseology.</t>
  </si>
</sst>
</file>

<file path=xl/styles.xml><?xml version="1.0" encoding="utf-8"?>
<styleSheet xmlns="http://schemas.openxmlformats.org/spreadsheetml/2006/main">
  <numFmts count="3">
    <numFmt numFmtId="164" formatCode="General"/>
    <numFmt numFmtId="165" formatCode="General"/>
    <numFmt numFmtId="166" formatCode="0.0%"/>
  </numFmts>
  <fonts count="20">
    <font>
      <sz val="11"/>
      <color theme="1"/>
      <name val="Calibri"/>
      <family val="2"/>
      <charset val="1"/>
    </font>
    <font>
      <sz val="10"/>
      <name val="Arial"/>
      <family val="0"/>
    </font>
    <font>
      <sz val="10"/>
      <name val="Arial"/>
      <family val="0"/>
    </font>
    <font>
      <sz val="10"/>
      <name val="Arial"/>
      <family val="0"/>
    </font>
    <font>
      <b val="true"/>
      <sz val="16"/>
      <color rgb="FF1B365D"/>
      <name val="Calibri"/>
      <family val="0"/>
      <charset val="1"/>
    </font>
    <font>
      <i val="true"/>
      <sz val="10"/>
      <color rgb="FF1F6F6A"/>
      <name val="Calibri"/>
      <family val="0"/>
      <charset val="1"/>
    </font>
    <font>
      <b val="true"/>
      <sz val="14"/>
      <color rgb="FF1B365D"/>
      <name val="Calibri"/>
      <family val="0"/>
      <charset val="1"/>
    </font>
    <font>
      <sz val="11"/>
      <color rgb="FF2C3E50"/>
      <name val="Calibri"/>
      <family val="0"/>
      <charset val="1"/>
    </font>
    <font>
      <b val="true"/>
      <sz val="12"/>
      <color rgb="FF1B365D"/>
      <name val="Calibri"/>
      <family val="0"/>
      <charset val="1"/>
    </font>
    <font>
      <b val="true"/>
      <sz val="11"/>
      <color rgb="FFFFFFFF"/>
      <name val="Calibri"/>
      <family val="0"/>
      <charset val="1"/>
    </font>
    <font>
      <sz val="10"/>
      <name val="Calibri"/>
      <family val="0"/>
      <charset val="1"/>
    </font>
    <font>
      <sz val="10"/>
      <color rgb="FF2C3E50"/>
      <name val="Calibri"/>
      <family val="0"/>
      <charset val="1"/>
    </font>
    <font>
      <sz val="11"/>
      <name val="Calibri"/>
      <family val="0"/>
      <charset val="1"/>
    </font>
    <font>
      <b val="true"/>
      <sz val="11"/>
      <name val="Calibri"/>
      <family val="0"/>
      <charset val="1"/>
    </font>
    <font>
      <b val="true"/>
      <sz val="11"/>
      <color rgb="FF1B365D"/>
      <name val="Calibri"/>
      <family val="0"/>
      <charset val="1"/>
    </font>
    <font>
      <b val="true"/>
      <sz val="18"/>
      <color rgb="FF000000"/>
      <name val="Calibri"/>
      <family val="2"/>
    </font>
    <font>
      <sz val="10"/>
      <color rgb="FF000000"/>
      <name val="Calibri"/>
      <family val="2"/>
    </font>
    <font>
      <b val="true"/>
      <sz val="12"/>
      <color rgb="FF1F6F6A"/>
      <name val="Calibri"/>
      <family val="0"/>
      <charset val="1"/>
    </font>
    <font>
      <sz val="9"/>
      <color rgb="FF2C3E50"/>
      <name val="Consolas"/>
      <family val="0"/>
      <charset val="1"/>
    </font>
    <font>
      <sz val="9"/>
      <name val="Consolas"/>
      <family val="0"/>
      <charset val="1"/>
    </font>
  </fonts>
  <fills count="10">
    <fill>
      <patternFill patternType="none"/>
    </fill>
    <fill>
      <patternFill patternType="gray125"/>
    </fill>
    <fill>
      <patternFill patternType="solid">
        <fgColor rgb="FF1B365D"/>
        <bgColor rgb="FF2C3E50"/>
      </patternFill>
    </fill>
    <fill>
      <patternFill patternType="solid">
        <fgColor rgb="FFFFFFFF"/>
        <bgColor rgb="FFF4F7FB"/>
      </patternFill>
    </fill>
    <fill>
      <patternFill patternType="solid">
        <fgColor rgb="FFF4F7FB"/>
        <bgColor rgb="FFF3F6FA"/>
      </patternFill>
    </fill>
    <fill>
      <patternFill patternType="solid">
        <fgColor rgb="FF1F6F6A"/>
        <bgColor rgb="FF4672A8"/>
      </patternFill>
    </fill>
    <fill>
      <patternFill patternType="solid">
        <fgColor rgb="FF6B2D5B"/>
        <bgColor rgb="FF660066"/>
      </patternFill>
    </fill>
    <fill>
      <patternFill patternType="solid">
        <fgColor rgb="FFC4A35A"/>
        <bgColor rgb="FFDC853E"/>
      </patternFill>
    </fill>
    <fill>
      <patternFill patternType="solid">
        <fgColor rgb="FFF8F1DE"/>
        <bgColor rgb="FFF3F6FA"/>
      </patternFill>
    </fill>
    <fill>
      <patternFill patternType="solid">
        <fgColor rgb="FFF3F6FA"/>
        <bgColor rgb="FFF4F7FB"/>
      </patternFill>
    </fill>
  </fills>
  <borders count="2">
    <border diagonalUp="false" diagonalDown="false">
      <left/>
      <right/>
      <top/>
      <bottom/>
      <diagonal/>
    </border>
    <border diagonalUp="false" diagonalDown="false">
      <left style="thin">
        <color rgb="FFC5CDD8"/>
      </left>
      <right style="thin">
        <color rgb="FFC5CDD8"/>
      </right>
      <top style="thin">
        <color rgb="FFC5CDD8"/>
      </top>
      <bottom style="thin">
        <color rgb="FFC5CD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general" vertical="center" textRotation="0" wrapText="true" indent="0" shrinkToFit="false"/>
      <protection locked="true" hidden="false"/>
    </xf>
    <xf numFmtId="164" fontId="11" fillId="4" borderId="1" xfId="0" applyFont="true" applyBorder="true" applyAlignment="true" applyProtection="false">
      <alignment horizontal="general"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false" indent="0" shrinkToFit="false"/>
      <protection locked="true" hidden="false"/>
    </xf>
    <xf numFmtId="165" fontId="12" fillId="4" borderId="1" xfId="0" applyFont="true" applyBorder="true" applyAlignment="true" applyProtection="false">
      <alignment horizontal="center" vertical="center" textRotation="0" wrapText="false" indent="0" shrinkToFit="false"/>
      <protection locked="true" hidden="false"/>
    </xf>
    <xf numFmtId="166" fontId="12" fillId="4" borderId="1" xfId="0" applyFont="true" applyBorder="true" applyAlignment="true" applyProtection="false">
      <alignment horizontal="center" vertical="center" textRotation="0" wrapText="false" indent="0" shrinkToFit="false"/>
      <protection locked="true" hidden="false"/>
    </xf>
    <xf numFmtId="164" fontId="13" fillId="8" borderId="1" xfId="0" applyFont="true" applyBorder="true" applyAlignment="true" applyProtection="false">
      <alignment horizontal="left" vertical="center" textRotation="0" wrapText="false" indent="0" shrinkToFit="false"/>
      <protection locked="true" hidden="false"/>
    </xf>
    <xf numFmtId="165" fontId="13" fillId="8" borderId="1" xfId="0" applyFont="true" applyBorder="true" applyAlignment="true" applyProtection="false">
      <alignment horizontal="center" vertical="center" textRotation="0" wrapText="false" indent="0" shrinkToFit="false"/>
      <protection locked="true" hidden="false"/>
    </xf>
    <xf numFmtId="166" fontId="13" fillId="8"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8" fillId="9"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B365D"/>
          <bgColor rgb="FF000000"/>
        </patternFill>
      </fill>
    </dxf>
    <dxf>
      <fill>
        <patternFill patternType="solid">
          <fgColor rgb="FFF4F7FB"/>
          <bgColor rgb="FF000000"/>
        </patternFill>
      </fill>
    </dxf>
    <dxf>
      <fill>
        <patternFill patternType="solid">
          <fgColor rgb="FFFFFFFF"/>
          <bgColor rgb="FF000000"/>
        </patternFill>
      </fill>
    </dxf>
    <dxf>
      <fill>
        <patternFill patternType="solid">
          <fgColor rgb="FF2C3E50"/>
          <bgColor rgb="FF000000"/>
        </patternFill>
      </fill>
    </dxf>
    <dxf>
      <fill>
        <patternFill patternType="solid">
          <fgColor rgb="FF1F6F6A"/>
          <bgColor rgb="FF000000"/>
        </patternFill>
      </fill>
    </dxf>
    <dxf>
      <fill>
        <patternFill patternType="solid">
          <fgColor rgb="FF6B2D5B"/>
          <bgColor rgb="FF000000"/>
        </patternFill>
      </fill>
    </dxf>
    <dxf>
      <fill>
        <patternFill patternType="solid">
          <fgColor rgb="FFC4A35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6A"/>
      <rgbColor rgb="FFC5CDD8"/>
      <rgbColor rgb="FF878787"/>
      <rgbColor rgb="FF93A9CE"/>
      <rgbColor rgb="FFAB4744"/>
      <rgbColor rgb="FFF8F1DE"/>
      <rgbColor rgb="FFF3F6FA"/>
      <rgbColor rgb="FF660066"/>
      <rgbColor rgb="FFDC853E"/>
      <rgbColor rgb="FF0066CC"/>
      <rgbColor rgb="FFD9D9D9"/>
      <rgbColor rgb="FF000080"/>
      <rgbColor rgb="FFFF00FF"/>
      <rgbColor rgb="FFFFFF00"/>
      <rgbColor rgb="FF00FFFF"/>
      <rgbColor rgb="FF800080"/>
      <rgbColor rgb="FF800000"/>
      <rgbColor rgb="FF4F81BD"/>
      <rgbColor rgb="FF0000FF"/>
      <rgbColor rgb="FF00CCFF"/>
      <rgbColor rgb="FFF4F7FB"/>
      <rgbColor rgb="FFCCFFCC"/>
      <rgbColor rgb="FFFFFF99"/>
      <rgbColor rgb="FF99CCFF"/>
      <rgbColor rgb="FFFF99CC"/>
      <rgbColor rgb="FFCC99FF"/>
      <rgbColor rgb="FFFFCC99"/>
      <rgbColor rgb="FF4672A8"/>
      <rgbColor rgb="FF33CCCC"/>
      <rgbColor rgb="FF99CC00"/>
      <rgbColor rgb="FFFFCC00"/>
      <rgbColor rgb="FFC4A35A"/>
      <rgbColor rgb="FFFF6600"/>
      <rgbColor rgb="FF725990"/>
      <rgbColor rgb="FF8AA64F"/>
      <rgbColor rgb="FF1B365D"/>
      <rgbColor rgb="FF4299B0"/>
      <rgbColor rgb="FF003300"/>
      <rgbColor rgb="FF333300"/>
      <rgbColor rgb="FF993300"/>
      <rgbColor rgb="FF6B2D5B"/>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Terms by domain</a:t>
            </a:r>
          </a:p>
        </c:rich>
      </c:tx>
      <c:overlay val="0"/>
      <c:spPr>
        <a:noFill/>
        <a:ln w="0">
          <a:noFill/>
        </a:ln>
      </c:spPr>
    </c:title>
    <c:autoTitleDeleted val="0"/>
    <c:plotArea>
      <c:pieChart>
        <c:varyColors val="1"/>
        <c:ser>
          <c:idx val="0"/>
          <c:order val="0"/>
          <c:tx>
            <c:strRef>
              <c:f>11_Dashboard!B4</c:f>
              <c:strCache>
                <c:ptCount val="1"/>
                <c:pt idx="0">
                  <c:v>Term_Count</c:v>
                </c:pt>
              </c:strCache>
            </c:strRef>
          </c:tx>
          <c:spPr>
            <a:solidFill>
              <a:srgbClr val="4f81bd"/>
            </a:solidFill>
            <a:ln w="0">
              <a:noFill/>
            </a:ln>
          </c:spPr>
          <c:explosion val="0"/>
          <c:dPt>
            <c:idx val="0"/>
            <c:spPr>
              <a:solidFill>
                <a:srgbClr val="4672a8"/>
              </a:solidFill>
              <a:ln w="0">
                <a:noFill/>
              </a:ln>
            </c:spPr>
          </c:dPt>
          <c:dPt>
            <c:idx val="1"/>
            <c:spPr>
              <a:solidFill>
                <a:srgbClr val="ab4744"/>
              </a:solidFill>
              <a:ln w="0">
                <a:noFill/>
              </a:ln>
            </c:spPr>
          </c:dPt>
          <c:dPt>
            <c:idx val="2"/>
            <c:spPr>
              <a:solidFill>
                <a:srgbClr val="8aa64f"/>
              </a:solidFill>
              <a:ln w="0">
                <a:noFill/>
              </a:ln>
            </c:spPr>
          </c:dPt>
          <c:dPt>
            <c:idx val="3"/>
            <c:spPr>
              <a:solidFill>
                <a:srgbClr val="725990"/>
              </a:solidFill>
              <a:ln w="0">
                <a:noFill/>
              </a:ln>
            </c:spPr>
          </c:dPt>
          <c:dPt>
            <c:idx val="4"/>
            <c:spPr>
              <a:solidFill>
                <a:srgbClr val="4299b0"/>
              </a:solidFill>
              <a:ln w="0">
                <a:noFill/>
              </a:ln>
            </c:spPr>
          </c:dPt>
          <c:dPt>
            <c:idx val="5"/>
            <c:spPr>
              <a:solidFill>
                <a:srgbClr val="dc853e"/>
              </a:solidFill>
              <a:ln w="0">
                <a:noFill/>
              </a:ln>
            </c:spPr>
          </c:dPt>
          <c:dPt>
            <c:idx val="6"/>
            <c:spPr>
              <a:solidFill>
                <a:srgbClr val="93a9ce"/>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0"/>
              <c:showCatName val="0"/>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0"/>
              <c:showCatName val="0"/>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0"/>
              <c:showCatName val="0"/>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0"/>
              <c:showCatName val="0"/>
              <c:showSerName val="1"/>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0"/>
              <c:showCatName val="0"/>
              <c:showSerName val="1"/>
              <c:showPercent val="1"/>
              <c:separator>
</c:separator>
            </c:dLbl>
            <c:dLbl>
              <c:idx val="5"/>
              <c:txPr>
                <a:bodyPr wrap="square"/>
                <a:lstStyle/>
                <a:p>
                  <a:pPr>
                    <a:defRPr b="0" sz="1000" spc="-1" strike="noStrike">
                      <a:solidFill>
                        <a:srgbClr val="000000"/>
                      </a:solidFill>
                      <a:latin typeface="Calibri"/>
                    </a:defRPr>
                  </a:pPr>
                </a:p>
              </c:txPr>
              <c:dLblPos val="bestFit"/>
              <c:showLegendKey val="1"/>
              <c:showVal val="0"/>
              <c:showCatName val="0"/>
              <c:showSerName val="1"/>
              <c:showPercent val="1"/>
              <c:separator>
</c:separator>
            </c:dLbl>
            <c:dLbl>
              <c:idx val="6"/>
              <c:txPr>
                <a:bodyPr wrap="square"/>
                <a:lstStyle/>
                <a:p>
                  <a:pPr>
                    <a:defRPr b="0" sz="1000" spc="-1" strike="noStrike">
                      <a:solidFill>
                        <a:srgbClr val="000000"/>
                      </a:solidFill>
                      <a:latin typeface="Calibri"/>
                    </a:defRPr>
                  </a:pPr>
                </a:p>
              </c:txPr>
              <c:dLblPos val="bestFit"/>
              <c:showLegendKey val="1"/>
              <c:showVal val="0"/>
              <c:showCatName val="0"/>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0"/>
            <c:showCatName val="0"/>
            <c:showSerName val="1"/>
            <c:showPercent val="1"/>
            <c:separator>
</c:separator>
            <c:showLeaderLines val="1"/>
          </c:dLbls>
          <c:cat>
            <c:strRef>
              <c:f>11_Dashboard!$A$5:$A$11</c:f>
              <c:strCache>
                <c:ptCount val="7"/>
                <c:pt idx="0">
                  <c:v>ATC</c:v>
                </c:pt>
                <c:pt idx="1">
                  <c:v>Airspace</c:v>
                </c:pt>
                <c:pt idx="2">
                  <c:v>AIS</c:v>
                </c:pt>
                <c:pt idx="3">
                  <c:v>MET</c:v>
                </c:pt>
                <c:pt idx="4">
                  <c:v>PANS-OPS</c:v>
                </c:pt>
                <c:pt idx="5">
                  <c:v>Safety</c:v>
                </c:pt>
                <c:pt idx="6">
                  <c:v>FRMS</c:v>
                </c:pt>
              </c:strCache>
            </c:strRef>
          </c:cat>
          <c:val>
            <c:numRef>
              <c:f>11_Dashboard!$B$5:$B$11</c:f>
              <c:numCache>
                <c:formatCode>General</c:formatCode>
                <c:ptCount val="7"/>
                <c:pt idx="0">
                  <c:v>97</c:v>
                </c:pt>
                <c:pt idx="1">
                  <c:v>38</c:v>
                </c:pt>
                <c:pt idx="2">
                  <c:v>40</c:v>
                </c:pt>
                <c:pt idx="3">
                  <c:v>43</c:v>
                </c:pt>
                <c:pt idx="4">
                  <c:v>54</c:v>
                </c:pt>
                <c:pt idx="5">
                  <c:v>33</c:v>
                </c:pt>
                <c:pt idx="6">
                  <c:v>44</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Term count by domain</a:t>
            </a:r>
          </a:p>
        </c:rich>
      </c:tx>
      <c:overlay val="0"/>
      <c:spPr>
        <a:noFill/>
        <a:ln w="0">
          <a:noFill/>
        </a:ln>
      </c:spPr>
    </c:title>
    <c:autoTitleDeleted val="0"/>
    <c:plotArea>
      <c:barChart>
        <c:barDir val="col"/>
        <c:grouping val="clustered"/>
        <c:varyColors val="0"/>
        <c:ser>
          <c:idx val="0"/>
          <c:order val="0"/>
          <c:tx>
            <c:strRef>
              <c:f>11_Dashboard!B4</c:f>
              <c:strCache>
                <c:ptCount val="1"/>
                <c:pt idx="0">
                  <c:v>Term_Count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11_Dashboard!$A$5:$A$11</c:f>
              <c:strCache>
                <c:ptCount val="7"/>
                <c:pt idx="0">
                  <c:v>ATC</c:v>
                </c:pt>
                <c:pt idx="1">
                  <c:v>Airspace</c:v>
                </c:pt>
                <c:pt idx="2">
                  <c:v>AIS</c:v>
                </c:pt>
                <c:pt idx="3">
                  <c:v>MET</c:v>
                </c:pt>
                <c:pt idx="4">
                  <c:v>PANS-OPS</c:v>
                </c:pt>
                <c:pt idx="5">
                  <c:v>Safety</c:v>
                </c:pt>
                <c:pt idx="6">
                  <c:v>FRMS</c:v>
                </c:pt>
              </c:strCache>
            </c:strRef>
          </c:cat>
          <c:val>
            <c:numRef>
              <c:f>11_Dashboard!$B$5:$B$11</c:f>
              <c:numCache>
                <c:formatCode>General</c:formatCode>
                <c:ptCount val="7"/>
                <c:pt idx="0">
                  <c:v>97</c:v>
                </c:pt>
                <c:pt idx="1">
                  <c:v>38</c:v>
                </c:pt>
                <c:pt idx="2">
                  <c:v>40</c:v>
                </c:pt>
                <c:pt idx="3">
                  <c:v>43</c:v>
                </c:pt>
                <c:pt idx="4">
                  <c:v>54</c:v>
                </c:pt>
                <c:pt idx="5">
                  <c:v>33</c:v>
                </c:pt>
                <c:pt idx="6">
                  <c:v>44</c:v>
                </c:pt>
              </c:numCache>
            </c:numRef>
          </c:val>
        </c:ser>
        <c:gapWidth val="150"/>
        <c:overlap val="0"/>
        <c:axId val="52251300"/>
        <c:axId val="26836436"/>
      </c:barChart>
      <c:catAx>
        <c:axId val="5225130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836436"/>
        <c:crosses val="autoZero"/>
        <c:auto val="1"/>
        <c:lblAlgn val="ctr"/>
        <c:lblOffset val="100"/>
        <c:noMultiLvlLbl val="0"/>
      </c:catAx>
      <c:valAx>
        <c:axId val="26836436"/>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25130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3</xdr:row>
      <xdr:rowOff>0</xdr:rowOff>
    </xdr:from>
    <xdr:to>
      <xdr:col>11</xdr:col>
      <xdr:colOff>8640</xdr:colOff>
      <xdr:row>14</xdr:row>
      <xdr:rowOff>212760</xdr:rowOff>
    </xdr:to>
    <xdr:graphicFrame>
      <xdr:nvGraphicFramePr>
        <xdr:cNvPr id="0" name="Chart 1"/>
        <xdr:cNvGraphicFramePr/>
      </xdr:nvGraphicFramePr>
      <xdr:xfrm>
        <a:off x="6061680" y="771480"/>
        <a:ext cx="50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19</xdr:row>
      <xdr:rowOff>0</xdr:rowOff>
    </xdr:from>
    <xdr:to>
      <xdr:col>11</xdr:col>
      <xdr:colOff>8640</xdr:colOff>
      <xdr:row>34</xdr:row>
      <xdr:rowOff>22320</xdr:rowOff>
    </xdr:to>
    <xdr:graphicFrame>
      <xdr:nvGraphicFramePr>
        <xdr:cNvPr id="1" name="Chart 2"/>
        <xdr:cNvGraphicFramePr/>
      </xdr:nvGraphicFramePr>
      <xdr:xfrm>
        <a:off x="6061680" y="4505400"/>
        <a:ext cx="503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bl_Abbr" displayName="tbl_Abbr" ref="A4:D115" headerRowCount="1" totalsRowCount="0" totalsRowShown="0">
  <autoFilter ref="A4:D115"/>
  <tableColumns count="4">
    <tableColumn id="1" name="Abbr"/>
    <tableColumn id="2" name="Expansion_EN"/>
    <tableColumn id="3" name="Domain"/>
    <tableColumn id="4" name="Expansion_VI"/>
  </tableColumns>
</table>
</file>

<file path=xl/tables/table2.xml><?xml version="1.0" encoding="utf-8"?>
<table xmlns="http://schemas.openxmlformats.org/spreadsheetml/2006/main" id="2" name="tbl_Airspace" displayName="tbl_Airspace" ref="A4:J42" headerRowCount="1" totalsRowCount="0" totalsRowShown="0">
  <autoFilter ref="A4:J42"/>
  <tableColumns count="10">
    <tableColumn id="1" name="Term_ID"/>
    <tableColumn id="2" name="Term_EN"/>
    <tableColumn id="3" name="Abbreviation"/>
    <tableColumn id="4" name="Domain"/>
    <tableColumn id="5" name="Subdomain"/>
    <tableColumn id="6" name="Definition_EN"/>
    <tableColumn id="7" name="Term_VI"/>
    <tableColumn id="8" name="ICAO_Ref"/>
    <tableColumn id="9" name="Ops_Usage"/>
    <tableColumn id="10" name="Related_Terms"/>
  </tableColumns>
</table>
</file>

<file path=xl/tables/table3.xml><?xml version="1.0" encoding="utf-8"?>
<table xmlns="http://schemas.openxmlformats.org/spreadsheetml/2006/main" id="3" name="tbl_AIS" displayName="tbl_AIS" ref="A4:J44" headerRowCount="1" totalsRowCount="0" totalsRowShown="0">
  <autoFilter ref="A4:J44"/>
  <tableColumns count="10">
    <tableColumn id="1" name="Term_ID"/>
    <tableColumn id="2" name="Term_EN"/>
    <tableColumn id="3" name="Abbreviation"/>
    <tableColumn id="4" name="Domain"/>
    <tableColumn id="5" name="Subdomain"/>
    <tableColumn id="6" name="Definition_EN"/>
    <tableColumn id="7" name="Term_VI"/>
    <tableColumn id="8" name="ICAO_Ref"/>
    <tableColumn id="9" name="Ops_Usage"/>
    <tableColumn id="10" name="Related_Terms"/>
  </tableColumns>
</table>
</file>

<file path=xl/tables/table4.xml><?xml version="1.0" encoding="utf-8"?>
<table xmlns="http://schemas.openxmlformats.org/spreadsheetml/2006/main" id="4" name="tbl_ATC" displayName="tbl_ATC" ref="A4:J101" headerRowCount="1" totalsRowCount="0" totalsRowShown="0">
  <autoFilter ref="A4:J101"/>
  <tableColumns count="10">
    <tableColumn id="1" name="Term_ID"/>
    <tableColumn id="2" name="Term_EN"/>
    <tableColumn id="3" name="Abbreviation"/>
    <tableColumn id="4" name="Domain"/>
    <tableColumn id="5" name="Subdomain"/>
    <tableColumn id="6" name="Definition_EN"/>
    <tableColumn id="7" name="Term_VI"/>
    <tableColumn id="8" name="ICAO_Ref"/>
    <tableColumn id="9" name="Ops_Usage"/>
    <tableColumn id="10" name="Related_Terms"/>
  </tableColumns>
</table>
</file>

<file path=xl/tables/table5.xml><?xml version="1.0" encoding="utf-8"?>
<table xmlns="http://schemas.openxmlformats.org/spreadsheetml/2006/main" id="5" name="tbl_FRMS" displayName="tbl_FRMS" ref="A4:J48" headerRowCount="1" totalsRowCount="0" totalsRowShown="0">
  <autoFilter ref="A4:J48"/>
  <tableColumns count="10">
    <tableColumn id="1" name="Term_ID"/>
    <tableColumn id="2" name="Term_EN"/>
    <tableColumn id="3" name="Abbreviation"/>
    <tableColumn id="4" name="Domain"/>
    <tableColumn id="5" name="Subdomain"/>
    <tableColumn id="6" name="Definition_EN"/>
    <tableColumn id="7" name="Term_VI"/>
    <tableColumn id="8" name="ICAO_Ref"/>
    <tableColumn id="9" name="Ops_Usage"/>
    <tableColumn id="10" name="Related_Terms"/>
  </tableColumns>
</table>
</file>

<file path=xl/tables/table6.xml><?xml version="1.0" encoding="utf-8"?>
<table xmlns="http://schemas.openxmlformats.org/spreadsheetml/2006/main" id="6" name="tbl_Master" displayName="tbl_Master" ref="A4:J353" headerRowCount="1" totalsRowCount="0" totalsRowShown="0">
  <autoFilter ref="A4:J353"/>
  <tableColumns count="10">
    <tableColumn id="1" name="Term_ID"/>
    <tableColumn id="2" name="Term_EN"/>
    <tableColumn id="3" name="Abbreviation"/>
    <tableColumn id="4" name="Domain"/>
    <tableColumn id="5" name="Subdomain"/>
    <tableColumn id="6" name="Definition_EN"/>
    <tableColumn id="7" name="Term_VI"/>
    <tableColumn id="8" name="ICAO_Ref"/>
    <tableColumn id="9" name="Ops_Usage"/>
    <tableColumn id="10" name="Related_Terms"/>
  </tableColumns>
</table>
</file>

<file path=xl/tables/table7.xml><?xml version="1.0" encoding="utf-8"?>
<table xmlns="http://schemas.openxmlformats.org/spreadsheetml/2006/main" id="7" name="tbl_MET" displayName="tbl_MET" ref="A4:J47" headerRowCount="1" totalsRowCount="0" totalsRowShown="0">
  <autoFilter ref="A4:J47"/>
  <tableColumns count="10">
    <tableColumn id="1" name="Term_ID"/>
    <tableColumn id="2" name="Term_EN"/>
    <tableColumn id="3" name="Abbreviation"/>
    <tableColumn id="4" name="Domain"/>
    <tableColumn id="5" name="Subdomain"/>
    <tableColumn id="6" name="Definition_EN"/>
    <tableColumn id="7" name="Term_VI"/>
    <tableColumn id="8" name="ICAO_Ref"/>
    <tableColumn id="9" name="Ops_Usage"/>
    <tableColumn id="10" name="Related_Terms"/>
  </tableColumns>
</table>
</file>

<file path=xl/tables/table8.xml><?xml version="1.0" encoding="utf-8"?>
<table xmlns="http://schemas.openxmlformats.org/spreadsheetml/2006/main" id="8" name="tbl_PANSOPS" displayName="tbl_PANSOPS" ref="A4:J58" headerRowCount="1" totalsRowCount="0" totalsRowShown="0">
  <autoFilter ref="A4:J58"/>
  <tableColumns count="10">
    <tableColumn id="1" name="Term_ID"/>
    <tableColumn id="2" name="Term_EN"/>
    <tableColumn id="3" name="Abbreviation"/>
    <tableColumn id="4" name="Domain"/>
    <tableColumn id="5" name="Subdomain"/>
    <tableColumn id="6" name="Definition_EN"/>
    <tableColumn id="7" name="Term_VI"/>
    <tableColumn id="8" name="ICAO_Ref"/>
    <tableColumn id="9" name="Ops_Usage"/>
    <tableColumn id="10" name="Related_Terms"/>
  </tableColumns>
</table>
</file>

<file path=xl/tables/table9.xml><?xml version="1.0" encoding="utf-8"?>
<table xmlns="http://schemas.openxmlformats.org/spreadsheetml/2006/main" id="9" name="tbl_Safety" displayName="tbl_Safety" ref="A4:J37" headerRowCount="1" totalsRowCount="0" totalsRowShown="0">
  <autoFilter ref="A4:J37"/>
  <tableColumns count="10">
    <tableColumn id="1" name="Term_ID"/>
    <tableColumn id="2" name="Term_EN"/>
    <tableColumn id="3" name="Abbreviation"/>
    <tableColumn id="4" name="Domain"/>
    <tableColumn id="5" name="Subdomain"/>
    <tableColumn id="6" name="Definition_EN"/>
    <tableColumn id="7" name="Term_VI"/>
    <tableColumn id="8" name="ICAO_Ref"/>
    <tableColumn id="9" name="Ops_Usage"/>
    <tableColumn id="10" name="Related_Terms"/>
  </tableColumns>
</table>
</file>

<file path=xl/tables/table10.xml><?xml version="1.0" encoding="utf-8"?>
<table xmlns="http://schemas.openxmlformats.org/spreadsheetml/2006/main" id="10" name="tbl_Sources" displayName="tbl_Sources" ref="A4:C31" headerRowCount="1" totalsRowCount="0" totalsRowShown="0">
  <autoFilter ref="A4:C31"/>
  <tableColumns count="3">
    <tableColumn id="1" name="Document"/>
    <tableColumn id="2" name="Title / Scope"/>
    <tableColumn id="3" name="Use in this glossary"/>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6.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4.xml"/>
</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7.xml"/>
</Relationships>
</file>

<file path=xl/worksheets/_rels/sheet7.xml.rels><?xml version="1.0" encoding="UTF-8"?>
<Relationships xmlns="http://schemas.openxmlformats.org/package/2006/relationships"><Relationship Id="rId1" Type="http://schemas.openxmlformats.org/officeDocument/2006/relationships/drawing" Target="../drawings/drawing6.xml"/><Relationship Id="rId2" Type="http://schemas.openxmlformats.org/officeDocument/2006/relationships/table" Target="../tables/table8.xml"/>
</Relationships>
</file>

<file path=xl/worksheets/_rels/sheet8.xml.rels><?xml version="1.0" encoding="UTF-8"?>
<Relationships xmlns="http://schemas.openxmlformats.org/package/2006/relationships"><Relationship Id="rId1" Type="http://schemas.openxmlformats.org/officeDocument/2006/relationships/drawing" Target="../drawings/drawing7.xml"/><Relationship Id="rId2" Type="http://schemas.openxmlformats.org/officeDocument/2006/relationships/table" Target="../tables/table9.xml"/>
</Relationships>
</file>

<file path=xl/worksheets/_rels/sheet9.xml.rels><?xml version="1.0" encoding="UTF-8"?>
<Relationships xmlns="http://schemas.openxmlformats.org/package/2006/relationships"><Relationship Id="rId1" Type="http://schemas.openxmlformats.org/officeDocument/2006/relationships/drawing" Target="../drawings/drawing8.xml"/><Relationship Id="rId2" Type="http://schemas.openxmlformats.org/officeDocument/2006/relationships/table" Target="../tables/table5.xml"/>
</Relationships>
</file>

<file path=xl/worksheets/_rels/sheet10.xml.rels><?xml version="1.0" encoding="UTF-8"?>
<Relationships xmlns="http://schemas.openxmlformats.org/package/2006/relationships"><Relationship Id="rId1" Type="http://schemas.openxmlformats.org/officeDocument/2006/relationships/drawing" Target="../drawings/drawing9.xml"/><Relationship Id="rId2" Type="http://schemas.openxmlformats.org/officeDocument/2006/relationships/table" Target="../tables/table1.xml"/>
</Relationships>
</file>

<file path=xl/worksheets/_rels/sheet11.xml.rels><?xml version="1.0" encoding="UTF-8"?>
<Relationships xmlns="http://schemas.openxmlformats.org/package/2006/relationships"><Relationship Id="rId1" Type="http://schemas.openxmlformats.org/officeDocument/2006/relationships/drawing" Target="../drawings/drawing10.xml"/><Relationship Id="rId2" Type="http://schemas.openxmlformats.org/officeDocument/2006/relationships/table" Target="../tables/table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78"/>
    <col collapsed="false" customWidth="true" hidden="false" outlineLevel="0" max="8" min="3" style="0" width="18"/>
  </cols>
  <sheetData>
    <row r="1" customFormat="false" ht="27.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4" customFormat="false" ht="21.75" hidden="false" customHeight="true" outlineLevel="0" collapsed="false">
      <c r="A4" s="3" t="s">
        <v>2</v>
      </c>
      <c r="B4" s="3"/>
      <c r="C4" s="3"/>
      <c r="D4" s="3"/>
      <c r="E4" s="3"/>
      <c r="F4" s="3"/>
    </row>
    <row r="6" customFormat="false" ht="90" hidden="false" customHeight="true" outlineLevel="0" collapsed="false">
      <c r="A6" s="4" t="s">
        <v>3</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4"/>
      <c r="B9" s="4"/>
      <c r="C9" s="4"/>
      <c r="D9" s="4"/>
      <c r="E9" s="4"/>
      <c r="F9" s="4"/>
      <c r="G9" s="4"/>
      <c r="H9" s="4"/>
    </row>
    <row r="10" customFormat="false" ht="15" hidden="false" customHeight="false" outlineLevel="0" collapsed="false">
      <c r="A10" s="4"/>
      <c r="B10" s="4"/>
      <c r="C10" s="4"/>
      <c r="D10" s="4"/>
      <c r="E10" s="4"/>
      <c r="F10" s="4"/>
      <c r="G10" s="4"/>
      <c r="H10" s="4"/>
    </row>
    <row r="12" customFormat="false" ht="15" hidden="false" customHeight="false" outlineLevel="0" collapsed="false">
      <c r="A12" s="5" t="s">
        <v>4</v>
      </c>
    </row>
    <row r="13" customFormat="false" ht="15" hidden="false" customHeight="false" outlineLevel="0" collapsed="false">
      <c r="A13" s="6" t="s">
        <v>5</v>
      </c>
      <c r="B13" s="6" t="s">
        <v>6</v>
      </c>
    </row>
    <row r="14" customFormat="false" ht="15" hidden="false" customHeight="false" outlineLevel="0" collapsed="false">
      <c r="A14" s="7" t="s">
        <v>7</v>
      </c>
      <c r="B14" s="7" t="s">
        <v>8</v>
      </c>
    </row>
    <row r="15" customFormat="false" ht="15" hidden="false" customHeight="false" outlineLevel="0" collapsed="false">
      <c r="A15" s="7" t="s">
        <v>9</v>
      </c>
      <c r="B15" s="7" t="s">
        <v>10</v>
      </c>
    </row>
    <row r="16" customFormat="false" ht="15" hidden="false" customHeight="false" outlineLevel="0" collapsed="false">
      <c r="A16" s="7" t="s">
        <v>11</v>
      </c>
      <c r="B16" s="7" t="s">
        <v>12</v>
      </c>
    </row>
    <row r="17" customFormat="false" ht="15" hidden="false" customHeight="false" outlineLevel="0" collapsed="false">
      <c r="A17" s="7" t="s">
        <v>13</v>
      </c>
      <c r="B17" s="7" t="s">
        <v>14</v>
      </c>
    </row>
    <row r="18" customFormat="false" ht="15" hidden="false" customHeight="false" outlineLevel="0" collapsed="false">
      <c r="A18" s="7" t="s">
        <v>15</v>
      </c>
      <c r="B18" s="7" t="s">
        <v>16</v>
      </c>
    </row>
    <row r="19" customFormat="false" ht="15" hidden="false" customHeight="false" outlineLevel="0" collapsed="false">
      <c r="A19" s="7" t="s">
        <v>17</v>
      </c>
      <c r="B19" s="7" t="s">
        <v>18</v>
      </c>
    </row>
    <row r="20" customFormat="false" ht="15" hidden="false" customHeight="false" outlineLevel="0" collapsed="false">
      <c r="A20" s="7" t="s">
        <v>19</v>
      </c>
      <c r="B20" s="7" t="s">
        <v>20</v>
      </c>
    </row>
    <row r="21" customFormat="false" ht="15" hidden="false" customHeight="false" outlineLevel="0" collapsed="false">
      <c r="A21" s="7" t="s">
        <v>21</v>
      </c>
      <c r="B21" s="7" t="s">
        <v>22</v>
      </c>
    </row>
    <row r="22" customFormat="false" ht="15" hidden="false" customHeight="false" outlineLevel="0" collapsed="false">
      <c r="A22" s="7" t="s">
        <v>23</v>
      </c>
      <c r="B22" s="7" t="s">
        <v>24</v>
      </c>
    </row>
    <row r="23" customFormat="false" ht="15" hidden="false" customHeight="false" outlineLevel="0" collapsed="false">
      <c r="A23" s="7" t="s">
        <v>25</v>
      </c>
      <c r="B23" s="7" t="s">
        <v>26</v>
      </c>
    </row>
    <row r="24" customFormat="false" ht="15" hidden="false" customHeight="false" outlineLevel="0" collapsed="false">
      <c r="A24" s="7" t="s">
        <v>27</v>
      </c>
      <c r="B24" s="7" t="s">
        <v>28</v>
      </c>
    </row>
    <row r="25" customFormat="false" ht="15" hidden="false" customHeight="false" outlineLevel="0" collapsed="false">
      <c r="A25" s="7" t="s">
        <v>29</v>
      </c>
      <c r="B25" s="7" t="s">
        <v>30</v>
      </c>
    </row>
    <row r="26" customFormat="false" ht="15" hidden="false" customHeight="false" outlineLevel="0" collapsed="false">
      <c r="A26" s="7" t="s">
        <v>31</v>
      </c>
      <c r="B26" s="7" t="s">
        <v>32</v>
      </c>
    </row>
  </sheetData>
  <mergeCells count="4">
    <mergeCell ref="A1:H1"/>
    <mergeCell ref="A2:H2"/>
    <mergeCell ref="A4:F4"/>
    <mergeCell ref="A6: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6" min="6" style="0" width="62"/>
    <col collapsed="false" customWidth="true" hidden="false" outlineLevel="0" max="7" min="7" style="0" width="36"/>
    <col collapsed="false" customWidth="true" hidden="false" outlineLevel="0" max="8" min="8" style="0" width="28"/>
    <col collapsed="false" customWidth="true" hidden="false" outlineLevel="0" max="9" min="9" style="0" width="36"/>
    <col collapsed="false" customWidth="true" hidden="false" outlineLevel="0" max="10" min="10" style="0" width="22"/>
  </cols>
  <sheetData>
    <row r="1" customFormat="false" ht="27.75" hidden="false" customHeight="true" outlineLevel="0" collapsed="false">
      <c r="A1" s="1" t="s">
        <v>33</v>
      </c>
      <c r="B1" s="1"/>
      <c r="C1" s="1"/>
      <c r="D1" s="1"/>
      <c r="E1" s="1"/>
      <c r="F1" s="1"/>
      <c r="G1" s="1"/>
      <c r="H1" s="1"/>
      <c r="I1" s="1"/>
      <c r="J1" s="1"/>
    </row>
    <row r="2" customFormat="false" ht="18" hidden="false" customHeight="true" outlineLevel="0" collapsed="false">
      <c r="A2" s="2" t="s">
        <v>1</v>
      </c>
      <c r="B2" s="2"/>
      <c r="C2" s="2"/>
      <c r="D2" s="2"/>
      <c r="E2" s="2"/>
      <c r="F2" s="2"/>
      <c r="G2" s="2"/>
      <c r="H2" s="2"/>
      <c r="I2" s="2"/>
      <c r="J2" s="2"/>
    </row>
    <row r="4" customFormat="false" ht="15" hidden="false" customHeight="false" outlineLevel="0" collapsed="false">
      <c r="A4" s="6" t="s">
        <v>34</v>
      </c>
      <c r="B4" s="6" t="s">
        <v>35</v>
      </c>
      <c r="C4" s="6" t="s">
        <v>36</v>
      </c>
      <c r="D4" s="6" t="s">
        <v>37</v>
      </c>
      <c r="E4" s="6" t="s">
        <v>38</v>
      </c>
      <c r="F4" s="6" t="s">
        <v>39</v>
      </c>
      <c r="G4" s="6" t="s">
        <v>40</v>
      </c>
      <c r="H4" s="6" t="s">
        <v>41</v>
      </c>
      <c r="I4" s="6" t="s">
        <v>42</v>
      </c>
      <c r="J4" s="6" t="s">
        <v>43</v>
      </c>
    </row>
    <row r="5" customFormat="false" ht="36" hidden="false" customHeight="true" outlineLevel="0" collapsed="false">
      <c r="A5" s="8" t="s">
        <v>44</v>
      </c>
      <c r="B5" s="8" t="s">
        <v>45</v>
      </c>
      <c r="C5" s="8" t="s">
        <v>46</v>
      </c>
      <c r="D5" s="8" t="s">
        <v>46</v>
      </c>
      <c r="E5" s="8" t="s">
        <v>47</v>
      </c>
      <c r="F5" s="8" t="s">
        <v>48</v>
      </c>
      <c r="G5" s="8" t="s">
        <v>49</v>
      </c>
      <c r="H5" s="8" t="s">
        <v>50</v>
      </c>
      <c r="I5" s="8" t="s">
        <v>51</v>
      </c>
      <c r="J5" s="8" t="s">
        <v>52</v>
      </c>
    </row>
    <row r="6" customFormat="false" ht="36" hidden="false" customHeight="true" outlineLevel="0" collapsed="false">
      <c r="A6" s="9" t="s">
        <v>53</v>
      </c>
      <c r="B6" s="9" t="s">
        <v>54</v>
      </c>
      <c r="C6" s="9" t="s">
        <v>55</v>
      </c>
      <c r="D6" s="9" t="s">
        <v>46</v>
      </c>
      <c r="E6" s="9" t="s">
        <v>47</v>
      </c>
      <c r="F6" s="9" t="s">
        <v>56</v>
      </c>
      <c r="G6" s="9" t="s">
        <v>57</v>
      </c>
      <c r="H6" s="9" t="s">
        <v>58</v>
      </c>
      <c r="I6" s="9" t="s">
        <v>59</v>
      </c>
      <c r="J6" s="9" t="s">
        <v>60</v>
      </c>
    </row>
    <row r="7" customFormat="false" ht="36" hidden="false" customHeight="true" outlineLevel="0" collapsed="false">
      <c r="A7" s="8" t="s">
        <v>61</v>
      </c>
      <c r="B7" s="8" t="s">
        <v>62</v>
      </c>
      <c r="C7" s="8" t="s">
        <v>63</v>
      </c>
      <c r="D7" s="8" t="s">
        <v>46</v>
      </c>
      <c r="E7" s="8" t="s">
        <v>47</v>
      </c>
      <c r="F7" s="8" t="s">
        <v>64</v>
      </c>
      <c r="G7" s="8" t="s">
        <v>65</v>
      </c>
      <c r="H7" s="8" t="s">
        <v>66</v>
      </c>
      <c r="I7" s="8" t="s">
        <v>67</v>
      </c>
      <c r="J7" s="8" t="s">
        <v>68</v>
      </c>
    </row>
    <row r="8" customFormat="false" ht="36" hidden="false" customHeight="true" outlineLevel="0" collapsed="false">
      <c r="A8" s="9" t="s">
        <v>69</v>
      </c>
      <c r="B8" s="9" t="s">
        <v>70</v>
      </c>
      <c r="C8" s="9" t="s">
        <v>71</v>
      </c>
      <c r="D8" s="9" t="s">
        <v>46</v>
      </c>
      <c r="E8" s="9" t="s">
        <v>72</v>
      </c>
      <c r="F8" s="9" t="s">
        <v>73</v>
      </c>
      <c r="G8" s="9" t="s">
        <v>74</v>
      </c>
      <c r="H8" s="9" t="s">
        <v>75</v>
      </c>
      <c r="I8" s="9" t="s">
        <v>76</v>
      </c>
      <c r="J8" s="9" t="s">
        <v>77</v>
      </c>
    </row>
    <row r="9" customFormat="false" ht="36" hidden="false" customHeight="true" outlineLevel="0" collapsed="false">
      <c r="A9" s="8" t="s">
        <v>78</v>
      </c>
      <c r="B9" s="8" t="s">
        <v>79</v>
      </c>
      <c r="C9" s="8" t="s">
        <v>80</v>
      </c>
      <c r="D9" s="8" t="s">
        <v>46</v>
      </c>
      <c r="E9" s="8" t="s">
        <v>81</v>
      </c>
      <c r="F9" s="8" t="s">
        <v>82</v>
      </c>
      <c r="G9" s="8" t="s">
        <v>83</v>
      </c>
      <c r="H9" s="8" t="s">
        <v>84</v>
      </c>
      <c r="I9" s="8" t="s">
        <v>85</v>
      </c>
      <c r="J9" s="8" t="s">
        <v>86</v>
      </c>
    </row>
    <row r="10" customFormat="false" ht="36" hidden="false" customHeight="true" outlineLevel="0" collapsed="false">
      <c r="A10" s="9" t="s">
        <v>87</v>
      </c>
      <c r="B10" s="9" t="s">
        <v>88</v>
      </c>
      <c r="C10" s="9" t="s">
        <v>80</v>
      </c>
      <c r="D10" s="9" t="s">
        <v>46</v>
      </c>
      <c r="E10" s="9" t="s">
        <v>81</v>
      </c>
      <c r="F10" s="9" t="s">
        <v>89</v>
      </c>
      <c r="G10" s="9" t="s">
        <v>90</v>
      </c>
      <c r="H10" s="9" t="s">
        <v>66</v>
      </c>
      <c r="I10" s="9" t="s">
        <v>91</v>
      </c>
      <c r="J10" s="9" t="s">
        <v>92</v>
      </c>
    </row>
    <row r="11" customFormat="false" ht="36" hidden="false" customHeight="true" outlineLevel="0" collapsed="false">
      <c r="A11" s="8" t="s">
        <v>93</v>
      </c>
      <c r="B11" s="8" t="s">
        <v>94</v>
      </c>
      <c r="C11" s="8" t="s">
        <v>95</v>
      </c>
      <c r="D11" s="8" t="s">
        <v>46</v>
      </c>
      <c r="E11" s="8" t="s">
        <v>81</v>
      </c>
      <c r="F11" s="8" t="s">
        <v>96</v>
      </c>
      <c r="G11" s="8" t="s">
        <v>97</v>
      </c>
      <c r="H11" s="8" t="s">
        <v>84</v>
      </c>
      <c r="I11" s="8" t="s">
        <v>98</v>
      </c>
      <c r="J11" s="8" t="s">
        <v>99</v>
      </c>
    </row>
    <row r="12" customFormat="false" ht="36" hidden="false" customHeight="true" outlineLevel="0" collapsed="false">
      <c r="A12" s="9" t="s">
        <v>100</v>
      </c>
      <c r="B12" s="9" t="s">
        <v>101</v>
      </c>
      <c r="C12" s="9" t="s">
        <v>95</v>
      </c>
      <c r="D12" s="9" t="s">
        <v>46</v>
      </c>
      <c r="E12" s="9" t="s">
        <v>81</v>
      </c>
      <c r="F12" s="9" t="s">
        <v>102</v>
      </c>
      <c r="G12" s="9" t="s">
        <v>103</v>
      </c>
      <c r="H12" s="9" t="s">
        <v>66</v>
      </c>
      <c r="I12" s="9" t="s">
        <v>104</v>
      </c>
      <c r="J12" s="9" t="s">
        <v>105</v>
      </c>
    </row>
    <row r="13" customFormat="false" ht="36" hidden="false" customHeight="true" outlineLevel="0" collapsed="false">
      <c r="A13" s="8" t="s">
        <v>106</v>
      </c>
      <c r="B13" s="8" t="s">
        <v>107</v>
      </c>
      <c r="C13" s="8" t="s">
        <v>108</v>
      </c>
      <c r="D13" s="8" t="s">
        <v>46</v>
      </c>
      <c r="E13" s="8" t="s">
        <v>81</v>
      </c>
      <c r="F13" s="8" t="s">
        <v>109</v>
      </c>
      <c r="G13" s="8" t="s">
        <v>110</v>
      </c>
      <c r="H13" s="8" t="s">
        <v>84</v>
      </c>
      <c r="I13" s="8" t="s">
        <v>111</v>
      </c>
      <c r="J13" s="8" t="s">
        <v>112</v>
      </c>
    </row>
    <row r="14" customFormat="false" ht="36" hidden="false" customHeight="true" outlineLevel="0" collapsed="false">
      <c r="A14" s="9" t="s">
        <v>113</v>
      </c>
      <c r="B14" s="9" t="s">
        <v>114</v>
      </c>
      <c r="C14" s="9" t="s">
        <v>108</v>
      </c>
      <c r="D14" s="9" t="s">
        <v>46</v>
      </c>
      <c r="E14" s="9" t="s">
        <v>81</v>
      </c>
      <c r="F14" s="9" t="s">
        <v>115</v>
      </c>
      <c r="G14" s="9" t="s">
        <v>116</v>
      </c>
      <c r="H14" s="9" t="s">
        <v>66</v>
      </c>
      <c r="I14" s="9" t="s">
        <v>117</v>
      </c>
      <c r="J14" s="9" t="s">
        <v>118</v>
      </c>
    </row>
    <row r="15" customFormat="false" ht="36" hidden="false" customHeight="true" outlineLevel="0" collapsed="false">
      <c r="A15" s="8" t="s">
        <v>119</v>
      </c>
      <c r="B15" s="8" t="s">
        <v>120</v>
      </c>
      <c r="C15" s="8" t="s">
        <v>121</v>
      </c>
      <c r="D15" s="8" t="s">
        <v>46</v>
      </c>
      <c r="E15" s="8" t="s">
        <v>47</v>
      </c>
      <c r="F15" s="8" t="s">
        <v>122</v>
      </c>
      <c r="G15" s="8" t="s">
        <v>123</v>
      </c>
      <c r="H15" s="8" t="s">
        <v>66</v>
      </c>
      <c r="I15" s="8" t="s">
        <v>124</v>
      </c>
      <c r="J15" s="8" t="s">
        <v>125</v>
      </c>
    </row>
    <row r="16" customFormat="false" ht="36" hidden="false" customHeight="true" outlineLevel="0" collapsed="false">
      <c r="A16" s="9" t="s">
        <v>126</v>
      </c>
      <c r="B16" s="9" t="s">
        <v>127</v>
      </c>
      <c r="C16" s="9" t="s">
        <v>128</v>
      </c>
      <c r="D16" s="9" t="s">
        <v>46</v>
      </c>
      <c r="E16" s="9" t="s">
        <v>81</v>
      </c>
      <c r="F16" s="9" t="s">
        <v>129</v>
      </c>
      <c r="G16" s="9" t="s">
        <v>130</v>
      </c>
      <c r="H16" s="9" t="s">
        <v>66</v>
      </c>
      <c r="I16" s="9" t="s">
        <v>131</v>
      </c>
      <c r="J16" s="9" t="s">
        <v>68</v>
      </c>
    </row>
    <row r="17" customFormat="false" ht="36" hidden="false" customHeight="true" outlineLevel="0" collapsed="false">
      <c r="A17" s="8" t="s">
        <v>132</v>
      </c>
      <c r="B17" s="8" t="s">
        <v>133</v>
      </c>
      <c r="C17" s="8" t="s">
        <v>134</v>
      </c>
      <c r="D17" s="8" t="s">
        <v>46</v>
      </c>
      <c r="E17" s="8" t="s">
        <v>47</v>
      </c>
      <c r="F17" s="8" t="s">
        <v>135</v>
      </c>
      <c r="G17" s="8" t="s">
        <v>136</v>
      </c>
      <c r="H17" s="8" t="s">
        <v>66</v>
      </c>
      <c r="I17" s="8" t="s">
        <v>137</v>
      </c>
      <c r="J17" s="8" t="s">
        <v>138</v>
      </c>
    </row>
    <row r="18" customFormat="false" ht="36" hidden="false" customHeight="true" outlineLevel="0" collapsed="false">
      <c r="A18" s="9" t="s">
        <v>139</v>
      </c>
      <c r="B18" s="9" t="s">
        <v>140</v>
      </c>
      <c r="C18" s="9"/>
      <c r="D18" s="9" t="s">
        <v>46</v>
      </c>
      <c r="E18" s="9" t="s">
        <v>47</v>
      </c>
      <c r="F18" s="9" t="s">
        <v>141</v>
      </c>
      <c r="G18" s="9" t="s">
        <v>142</v>
      </c>
      <c r="H18" s="9" t="s">
        <v>66</v>
      </c>
      <c r="I18" s="9" t="s">
        <v>143</v>
      </c>
      <c r="J18" s="9" t="s">
        <v>144</v>
      </c>
    </row>
    <row r="19" customFormat="false" ht="36" hidden="false" customHeight="true" outlineLevel="0" collapsed="false">
      <c r="A19" s="8" t="s">
        <v>145</v>
      </c>
      <c r="B19" s="8" t="s">
        <v>146</v>
      </c>
      <c r="C19" s="8" t="s">
        <v>147</v>
      </c>
      <c r="D19" s="8" t="s">
        <v>46</v>
      </c>
      <c r="E19" s="8" t="s">
        <v>47</v>
      </c>
      <c r="F19" s="8" t="s">
        <v>148</v>
      </c>
      <c r="G19" s="8" t="s">
        <v>149</v>
      </c>
      <c r="H19" s="8" t="s">
        <v>150</v>
      </c>
      <c r="I19" s="8" t="s">
        <v>151</v>
      </c>
      <c r="J19" s="8" t="s">
        <v>121</v>
      </c>
    </row>
    <row r="20" customFormat="false" ht="36" hidden="false" customHeight="true" outlineLevel="0" collapsed="false">
      <c r="A20" s="9" t="s">
        <v>152</v>
      </c>
      <c r="B20" s="9" t="s">
        <v>153</v>
      </c>
      <c r="C20" s="9"/>
      <c r="D20" s="9" t="s">
        <v>46</v>
      </c>
      <c r="E20" s="9" t="s">
        <v>154</v>
      </c>
      <c r="F20" s="9" t="s">
        <v>155</v>
      </c>
      <c r="G20" s="9" t="s">
        <v>156</v>
      </c>
      <c r="H20" s="9" t="s">
        <v>84</v>
      </c>
      <c r="I20" s="9" t="s">
        <v>157</v>
      </c>
      <c r="J20" s="9" t="s">
        <v>158</v>
      </c>
    </row>
    <row r="21" customFormat="false" ht="36" hidden="false" customHeight="true" outlineLevel="0" collapsed="false">
      <c r="A21" s="8" t="s">
        <v>159</v>
      </c>
      <c r="B21" s="8" t="s">
        <v>160</v>
      </c>
      <c r="C21" s="8"/>
      <c r="D21" s="8" t="s">
        <v>46</v>
      </c>
      <c r="E21" s="8" t="s">
        <v>154</v>
      </c>
      <c r="F21" s="8" t="s">
        <v>161</v>
      </c>
      <c r="G21" s="8" t="s">
        <v>162</v>
      </c>
      <c r="H21" s="8" t="s">
        <v>84</v>
      </c>
      <c r="I21" s="8" t="s">
        <v>163</v>
      </c>
      <c r="J21" s="8" t="s">
        <v>164</v>
      </c>
    </row>
    <row r="22" customFormat="false" ht="36" hidden="false" customHeight="true" outlineLevel="0" collapsed="false">
      <c r="A22" s="9" t="s">
        <v>165</v>
      </c>
      <c r="B22" s="9" t="s">
        <v>166</v>
      </c>
      <c r="C22" s="9"/>
      <c r="D22" s="9" t="s">
        <v>46</v>
      </c>
      <c r="E22" s="9" t="s">
        <v>154</v>
      </c>
      <c r="F22" s="9" t="s">
        <v>167</v>
      </c>
      <c r="G22" s="9" t="s">
        <v>168</v>
      </c>
      <c r="H22" s="9" t="s">
        <v>84</v>
      </c>
      <c r="I22" s="9" t="s">
        <v>169</v>
      </c>
      <c r="J22" s="9" t="s">
        <v>170</v>
      </c>
    </row>
    <row r="23" customFormat="false" ht="36" hidden="false" customHeight="true" outlineLevel="0" collapsed="false">
      <c r="A23" s="8" t="s">
        <v>171</v>
      </c>
      <c r="B23" s="8" t="s">
        <v>172</v>
      </c>
      <c r="C23" s="8"/>
      <c r="D23" s="8" t="s">
        <v>46</v>
      </c>
      <c r="E23" s="8" t="s">
        <v>154</v>
      </c>
      <c r="F23" s="8" t="s">
        <v>173</v>
      </c>
      <c r="G23" s="8" t="s">
        <v>174</v>
      </c>
      <c r="H23" s="8" t="s">
        <v>84</v>
      </c>
      <c r="I23" s="8" t="s">
        <v>175</v>
      </c>
      <c r="J23" s="8" t="s">
        <v>176</v>
      </c>
    </row>
    <row r="24" customFormat="false" ht="36" hidden="false" customHeight="true" outlineLevel="0" collapsed="false">
      <c r="A24" s="9" t="s">
        <v>177</v>
      </c>
      <c r="B24" s="9" t="s">
        <v>164</v>
      </c>
      <c r="C24" s="9"/>
      <c r="D24" s="9" t="s">
        <v>46</v>
      </c>
      <c r="E24" s="9" t="s">
        <v>154</v>
      </c>
      <c r="F24" s="9" t="s">
        <v>178</v>
      </c>
      <c r="G24" s="9" t="s">
        <v>179</v>
      </c>
      <c r="H24" s="9" t="s">
        <v>180</v>
      </c>
      <c r="I24" s="9" t="s">
        <v>181</v>
      </c>
      <c r="J24" s="9" t="s">
        <v>182</v>
      </c>
    </row>
    <row r="25" customFormat="false" ht="36" hidden="false" customHeight="true" outlineLevel="0" collapsed="false">
      <c r="A25" s="8" t="s">
        <v>183</v>
      </c>
      <c r="B25" s="8" t="s">
        <v>182</v>
      </c>
      <c r="C25" s="8"/>
      <c r="D25" s="8" t="s">
        <v>46</v>
      </c>
      <c r="E25" s="8" t="s">
        <v>154</v>
      </c>
      <c r="F25" s="8" t="s">
        <v>184</v>
      </c>
      <c r="G25" s="8" t="s">
        <v>185</v>
      </c>
      <c r="H25" s="8" t="s">
        <v>84</v>
      </c>
      <c r="I25" s="8" t="s">
        <v>186</v>
      </c>
      <c r="J25" s="8" t="s">
        <v>164</v>
      </c>
    </row>
    <row r="26" customFormat="false" ht="36" hidden="false" customHeight="true" outlineLevel="0" collapsed="false">
      <c r="A26" s="9" t="s">
        <v>187</v>
      </c>
      <c r="B26" s="9" t="s">
        <v>188</v>
      </c>
      <c r="C26" s="9" t="s">
        <v>189</v>
      </c>
      <c r="D26" s="9" t="s">
        <v>46</v>
      </c>
      <c r="E26" s="9" t="s">
        <v>170</v>
      </c>
      <c r="F26" s="9" t="s">
        <v>190</v>
      </c>
      <c r="G26" s="9" t="s">
        <v>191</v>
      </c>
      <c r="H26" s="9" t="s">
        <v>192</v>
      </c>
      <c r="I26" s="9" t="s">
        <v>193</v>
      </c>
      <c r="J26" s="9" t="s">
        <v>194</v>
      </c>
    </row>
    <row r="27" customFormat="false" ht="36" hidden="false" customHeight="true" outlineLevel="0" collapsed="false">
      <c r="A27" s="8" t="s">
        <v>195</v>
      </c>
      <c r="B27" s="8" t="s">
        <v>196</v>
      </c>
      <c r="C27" s="8"/>
      <c r="D27" s="8" t="s">
        <v>46</v>
      </c>
      <c r="E27" s="8" t="s">
        <v>170</v>
      </c>
      <c r="F27" s="8" t="s">
        <v>197</v>
      </c>
      <c r="G27" s="8" t="s">
        <v>198</v>
      </c>
      <c r="H27" s="8" t="s">
        <v>84</v>
      </c>
      <c r="I27" s="8" t="s">
        <v>199</v>
      </c>
      <c r="J27" s="8" t="s">
        <v>200</v>
      </c>
    </row>
    <row r="28" customFormat="false" ht="36" hidden="false" customHeight="true" outlineLevel="0" collapsed="false">
      <c r="A28" s="9" t="s">
        <v>201</v>
      </c>
      <c r="B28" s="9" t="s">
        <v>202</v>
      </c>
      <c r="C28" s="9"/>
      <c r="D28" s="9" t="s">
        <v>46</v>
      </c>
      <c r="E28" s="9" t="s">
        <v>170</v>
      </c>
      <c r="F28" s="9" t="s">
        <v>203</v>
      </c>
      <c r="G28" s="9" t="s">
        <v>204</v>
      </c>
      <c r="H28" s="9" t="s">
        <v>84</v>
      </c>
      <c r="I28" s="9" t="s">
        <v>205</v>
      </c>
      <c r="J28" s="9" t="s">
        <v>189</v>
      </c>
    </row>
    <row r="29" customFormat="false" ht="36" hidden="false" customHeight="true" outlineLevel="0" collapsed="false">
      <c r="A29" s="8" t="s">
        <v>206</v>
      </c>
      <c r="B29" s="8" t="s">
        <v>207</v>
      </c>
      <c r="C29" s="8" t="s">
        <v>208</v>
      </c>
      <c r="D29" s="8" t="s">
        <v>46</v>
      </c>
      <c r="E29" s="8" t="s">
        <v>170</v>
      </c>
      <c r="F29" s="8" t="s">
        <v>209</v>
      </c>
      <c r="G29" s="8" t="s">
        <v>210</v>
      </c>
      <c r="H29" s="8" t="s">
        <v>211</v>
      </c>
      <c r="I29" s="8" t="s">
        <v>212</v>
      </c>
      <c r="J29" s="8" t="s">
        <v>213</v>
      </c>
    </row>
    <row r="30" customFormat="false" ht="36" hidden="false" customHeight="true" outlineLevel="0" collapsed="false">
      <c r="A30" s="9" t="s">
        <v>214</v>
      </c>
      <c r="B30" s="9" t="s">
        <v>215</v>
      </c>
      <c r="C30" s="9" t="s">
        <v>213</v>
      </c>
      <c r="D30" s="9" t="s">
        <v>46</v>
      </c>
      <c r="E30" s="9" t="s">
        <v>170</v>
      </c>
      <c r="F30" s="9" t="s">
        <v>216</v>
      </c>
      <c r="G30" s="9" t="s">
        <v>217</v>
      </c>
      <c r="H30" s="9" t="s">
        <v>218</v>
      </c>
      <c r="I30" s="9" t="s">
        <v>219</v>
      </c>
      <c r="J30" s="9" t="s">
        <v>189</v>
      </c>
    </row>
    <row r="31" customFormat="false" ht="36" hidden="false" customHeight="true" outlineLevel="0" collapsed="false">
      <c r="A31" s="8" t="s">
        <v>220</v>
      </c>
      <c r="B31" s="8" t="s">
        <v>221</v>
      </c>
      <c r="C31" s="8"/>
      <c r="D31" s="8" t="s">
        <v>46</v>
      </c>
      <c r="E31" s="8" t="s">
        <v>170</v>
      </c>
      <c r="F31" s="8" t="s">
        <v>222</v>
      </c>
      <c r="G31" s="8" t="s">
        <v>223</v>
      </c>
      <c r="H31" s="8" t="s">
        <v>224</v>
      </c>
      <c r="I31" s="8" t="s">
        <v>225</v>
      </c>
      <c r="J31" s="8" t="s">
        <v>226</v>
      </c>
    </row>
    <row r="32" customFormat="false" ht="36" hidden="false" customHeight="true" outlineLevel="0" collapsed="false">
      <c r="A32" s="9" t="s">
        <v>227</v>
      </c>
      <c r="B32" s="9" t="s">
        <v>226</v>
      </c>
      <c r="C32" s="9"/>
      <c r="D32" s="9" t="s">
        <v>46</v>
      </c>
      <c r="E32" s="9" t="s">
        <v>228</v>
      </c>
      <c r="F32" s="9" t="s">
        <v>229</v>
      </c>
      <c r="G32" s="9" t="s">
        <v>230</v>
      </c>
      <c r="H32" s="9" t="s">
        <v>231</v>
      </c>
      <c r="I32" s="9" t="s">
        <v>232</v>
      </c>
      <c r="J32" s="9" t="s">
        <v>233</v>
      </c>
    </row>
    <row r="33" customFormat="false" ht="36" hidden="false" customHeight="true" outlineLevel="0" collapsed="false">
      <c r="A33" s="8" t="s">
        <v>234</v>
      </c>
      <c r="B33" s="8" t="s">
        <v>235</v>
      </c>
      <c r="C33" s="8"/>
      <c r="D33" s="8" t="s">
        <v>46</v>
      </c>
      <c r="E33" s="8" t="s">
        <v>228</v>
      </c>
      <c r="F33" s="8" t="s">
        <v>236</v>
      </c>
      <c r="G33" s="8" t="s">
        <v>237</v>
      </c>
      <c r="H33" s="8" t="s">
        <v>238</v>
      </c>
      <c r="I33" s="8" t="s">
        <v>239</v>
      </c>
      <c r="J33" s="8" t="s">
        <v>240</v>
      </c>
    </row>
    <row r="34" customFormat="false" ht="36" hidden="false" customHeight="true" outlineLevel="0" collapsed="false">
      <c r="A34" s="9" t="s">
        <v>241</v>
      </c>
      <c r="B34" s="9" t="s">
        <v>242</v>
      </c>
      <c r="C34" s="9"/>
      <c r="D34" s="9" t="s">
        <v>46</v>
      </c>
      <c r="E34" s="9" t="s">
        <v>228</v>
      </c>
      <c r="F34" s="9" t="s">
        <v>243</v>
      </c>
      <c r="G34" s="9" t="s">
        <v>242</v>
      </c>
      <c r="H34" s="9" t="s">
        <v>238</v>
      </c>
      <c r="I34" s="9" t="s">
        <v>244</v>
      </c>
      <c r="J34" s="9" t="s">
        <v>245</v>
      </c>
    </row>
    <row r="35" customFormat="false" ht="36" hidden="false" customHeight="true" outlineLevel="0" collapsed="false">
      <c r="A35" s="8" t="s">
        <v>246</v>
      </c>
      <c r="B35" s="8" t="s">
        <v>247</v>
      </c>
      <c r="C35" s="8"/>
      <c r="D35" s="8" t="s">
        <v>46</v>
      </c>
      <c r="E35" s="8" t="s">
        <v>228</v>
      </c>
      <c r="F35" s="8" t="s">
        <v>248</v>
      </c>
      <c r="G35" s="8" t="s">
        <v>247</v>
      </c>
      <c r="H35" s="8" t="s">
        <v>238</v>
      </c>
      <c r="I35" s="8" t="s">
        <v>249</v>
      </c>
      <c r="J35" s="8" t="s">
        <v>250</v>
      </c>
    </row>
    <row r="36" customFormat="false" ht="36" hidden="false" customHeight="true" outlineLevel="0" collapsed="false">
      <c r="A36" s="9" t="s">
        <v>251</v>
      </c>
      <c r="B36" s="9" t="s">
        <v>252</v>
      </c>
      <c r="C36" s="9"/>
      <c r="D36" s="9" t="s">
        <v>46</v>
      </c>
      <c r="E36" s="9" t="s">
        <v>228</v>
      </c>
      <c r="F36" s="9" t="s">
        <v>253</v>
      </c>
      <c r="G36" s="9" t="s">
        <v>252</v>
      </c>
      <c r="H36" s="9" t="s">
        <v>238</v>
      </c>
      <c r="I36" s="9" t="s">
        <v>254</v>
      </c>
      <c r="J36" s="9" t="s">
        <v>255</v>
      </c>
    </row>
    <row r="37" customFormat="false" ht="36" hidden="false" customHeight="true" outlineLevel="0" collapsed="false">
      <c r="A37" s="8" t="s">
        <v>256</v>
      </c>
      <c r="B37" s="8" t="s">
        <v>255</v>
      </c>
      <c r="C37" s="8" t="s">
        <v>255</v>
      </c>
      <c r="D37" s="8" t="s">
        <v>46</v>
      </c>
      <c r="E37" s="8" t="s">
        <v>228</v>
      </c>
      <c r="F37" s="8" t="s">
        <v>257</v>
      </c>
      <c r="G37" s="8" t="s">
        <v>258</v>
      </c>
      <c r="H37" s="8" t="s">
        <v>259</v>
      </c>
      <c r="I37" s="8" t="s">
        <v>260</v>
      </c>
      <c r="J37" s="8" t="s">
        <v>261</v>
      </c>
    </row>
    <row r="38" customFormat="false" ht="36" hidden="false" customHeight="true" outlineLevel="0" collapsed="false">
      <c r="A38" s="9" t="s">
        <v>262</v>
      </c>
      <c r="B38" s="9" t="s">
        <v>263</v>
      </c>
      <c r="C38" s="9" t="s">
        <v>263</v>
      </c>
      <c r="D38" s="9" t="s">
        <v>46</v>
      </c>
      <c r="E38" s="9" t="s">
        <v>228</v>
      </c>
      <c r="F38" s="9" t="s">
        <v>264</v>
      </c>
      <c r="G38" s="9" t="s">
        <v>265</v>
      </c>
      <c r="H38" s="9" t="s">
        <v>84</v>
      </c>
      <c r="I38" s="9" t="s">
        <v>266</v>
      </c>
      <c r="J38" s="9" t="s">
        <v>267</v>
      </c>
    </row>
    <row r="39" customFormat="false" ht="36" hidden="false" customHeight="true" outlineLevel="0" collapsed="false">
      <c r="A39" s="8" t="s">
        <v>268</v>
      </c>
      <c r="B39" s="8" t="s">
        <v>267</v>
      </c>
      <c r="C39" s="8" t="s">
        <v>267</v>
      </c>
      <c r="D39" s="8" t="s">
        <v>46</v>
      </c>
      <c r="E39" s="8" t="s">
        <v>269</v>
      </c>
      <c r="F39" s="8" t="s">
        <v>270</v>
      </c>
      <c r="G39" s="8" t="s">
        <v>271</v>
      </c>
      <c r="H39" s="8" t="s">
        <v>272</v>
      </c>
      <c r="I39" s="8" t="s">
        <v>273</v>
      </c>
      <c r="J39" s="8" t="s">
        <v>274</v>
      </c>
    </row>
    <row r="40" customFormat="false" ht="36" hidden="false" customHeight="true" outlineLevel="0" collapsed="false">
      <c r="A40" s="9" t="s">
        <v>275</v>
      </c>
      <c r="B40" s="9" t="s">
        <v>276</v>
      </c>
      <c r="C40" s="9" t="s">
        <v>277</v>
      </c>
      <c r="D40" s="9" t="s">
        <v>46</v>
      </c>
      <c r="E40" s="9" t="s">
        <v>228</v>
      </c>
      <c r="F40" s="9" t="s">
        <v>278</v>
      </c>
      <c r="G40" s="9" t="s">
        <v>279</v>
      </c>
      <c r="H40" s="9" t="s">
        <v>84</v>
      </c>
      <c r="I40" s="9" t="s">
        <v>280</v>
      </c>
      <c r="J40" s="9" t="s">
        <v>245</v>
      </c>
    </row>
    <row r="41" customFormat="false" ht="36" hidden="false" customHeight="true" outlineLevel="0" collapsed="false">
      <c r="A41" s="8" t="s">
        <v>281</v>
      </c>
      <c r="B41" s="8" t="s">
        <v>282</v>
      </c>
      <c r="C41" s="8" t="s">
        <v>245</v>
      </c>
      <c r="D41" s="8" t="s">
        <v>46</v>
      </c>
      <c r="E41" s="8" t="s">
        <v>228</v>
      </c>
      <c r="F41" s="8" t="s">
        <v>283</v>
      </c>
      <c r="G41" s="8" t="s">
        <v>284</v>
      </c>
      <c r="H41" s="8" t="s">
        <v>238</v>
      </c>
      <c r="I41" s="8" t="s">
        <v>285</v>
      </c>
      <c r="J41" s="8" t="s">
        <v>277</v>
      </c>
    </row>
    <row r="42" customFormat="false" ht="36" hidden="false" customHeight="true" outlineLevel="0" collapsed="false">
      <c r="A42" s="9" t="s">
        <v>286</v>
      </c>
      <c r="B42" s="9" t="s">
        <v>287</v>
      </c>
      <c r="C42" s="9" t="s">
        <v>288</v>
      </c>
      <c r="D42" s="9" t="s">
        <v>46</v>
      </c>
      <c r="E42" s="9" t="s">
        <v>228</v>
      </c>
      <c r="F42" s="9" t="s">
        <v>289</v>
      </c>
      <c r="G42" s="9" t="s">
        <v>290</v>
      </c>
      <c r="H42" s="9" t="s">
        <v>291</v>
      </c>
      <c r="I42" s="9" t="s">
        <v>292</v>
      </c>
      <c r="J42" s="9" t="s">
        <v>293</v>
      </c>
    </row>
    <row r="43" customFormat="false" ht="36" hidden="false" customHeight="true" outlineLevel="0" collapsed="false">
      <c r="A43" s="8" t="s">
        <v>294</v>
      </c>
      <c r="B43" s="8" t="s">
        <v>295</v>
      </c>
      <c r="C43" s="8" t="s">
        <v>293</v>
      </c>
      <c r="D43" s="8" t="s">
        <v>46</v>
      </c>
      <c r="E43" s="8" t="s">
        <v>228</v>
      </c>
      <c r="F43" s="8" t="s">
        <v>296</v>
      </c>
      <c r="G43" s="8" t="s">
        <v>297</v>
      </c>
      <c r="H43" s="8" t="s">
        <v>298</v>
      </c>
      <c r="I43" s="8" t="s">
        <v>299</v>
      </c>
      <c r="J43" s="8" t="s">
        <v>288</v>
      </c>
    </row>
    <row r="44" customFormat="false" ht="36" hidden="false" customHeight="true" outlineLevel="0" collapsed="false">
      <c r="A44" s="9" t="s">
        <v>300</v>
      </c>
      <c r="B44" s="9" t="s">
        <v>301</v>
      </c>
      <c r="C44" s="9"/>
      <c r="D44" s="9" t="s">
        <v>46</v>
      </c>
      <c r="E44" s="9" t="s">
        <v>228</v>
      </c>
      <c r="F44" s="9" t="s">
        <v>302</v>
      </c>
      <c r="G44" s="9" t="s">
        <v>303</v>
      </c>
      <c r="H44" s="9" t="s">
        <v>84</v>
      </c>
      <c r="I44" s="9" t="s">
        <v>304</v>
      </c>
      <c r="J44" s="9" t="s">
        <v>305</v>
      </c>
    </row>
    <row r="45" customFormat="false" ht="36" hidden="false" customHeight="true" outlineLevel="0" collapsed="false">
      <c r="A45" s="8" t="s">
        <v>306</v>
      </c>
      <c r="B45" s="8" t="s">
        <v>307</v>
      </c>
      <c r="C45" s="8" t="s">
        <v>305</v>
      </c>
      <c r="D45" s="8" t="s">
        <v>46</v>
      </c>
      <c r="E45" s="8" t="s">
        <v>308</v>
      </c>
      <c r="F45" s="8" t="s">
        <v>309</v>
      </c>
      <c r="G45" s="8" t="s">
        <v>310</v>
      </c>
      <c r="H45" s="8" t="s">
        <v>311</v>
      </c>
      <c r="I45" s="8" t="s">
        <v>312</v>
      </c>
      <c r="J45" s="8" t="s">
        <v>313</v>
      </c>
    </row>
    <row r="46" customFormat="false" ht="36" hidden="false" customHeight="true" outlineLevel="0" collapsed="false">
      <c r="A46" s="9" t="s">
        <v>314</v>
      </c>
      <c r="B46" s="9" t="s">
        <v>315</v>
      </c>
      <c r="C46" s="9" t="s">
        <v>313</v>
      </c>
      <c r="D46" s="9" t="s">
        <v>46</v>
      </c>
      <c r="E46" s="9" t="s">
        <v>308</v>
      </c>
      <c r="F46" s="9" t="s">
        <v>316</v>
      </c>
      <c r="G46" s="9" t="s">
        <v>317</v>
      </c>
      <c r="H46" s="9" t="s">
        <v>318</v>
      </c>
      <c r="I46" s="9" t="s">
        <v>319</v>
      </c>
      <c r="J46" s="9" t="s">
        <v>320</v>
      </c>
    </row>
    <row r="47" customFormat="false" ht="36" hidden="false" customHeight="true" outlineLevel="0" collapsed="false">
      <c r="A47" s="8" t="s">
        <v>321</v>
      </c>
      <c r="B47" s="8" t="s">
        <v>322</v>
      </c>
      <c r="C47" s="8"/>
      <c r="D47" s="8" t="s">
        <v>46</v>
      </c>
      <c r="E47" s="8" t="s">
        <v>308</v>
      </c>
      <c r="F47" s="8" t="s">
        <v>323</v>
      </c>
      <c r="G47" s="8" t="s">
        <v>324</v>
      </c>
      <c r="H47" s="8" t="s">
        <v>325</v>
      </c>
      <c r="I47" s="8" t="s">
        <v>326</v>
      </c>
      <c r="J47" s="8" t="s">
        <v>313</v>
      </c>
    </row>
    <row r="48" customFormat="false" ht="36" hidden="false" customHeight="true" outlineLevel="0" collapsed="false">
      <c r="A48" s="9" t="s">
        <v>327</v>
      </c>
      <c r="B48" s="9" t="s">
        <v>328</v>
      </c>
      <c r="C48" s="9"/>
      <c r="D48" s="9" t="s">
        <v>46</v>
      </c>
      <c r="E48" s="9" t="s">
        <v>328</v>
      </c>
      <c r="F48" s="9" t="s">
        <v>329</v>
      </c>
      <c r="G48" s="9" t="s">
        <v>330</v>
      </c>
      <c r="H48" s="9" t="s">
        <v>331</v>
      </c>
      <c r="I48" s="9" t="s">
        <v>332</v>
      </c>
      <c r="J48" s="9" t="s">
        <v>333</v>
      </c>
    </row>
    <row r="49" customFormat="false" ht="36" hidden="false" customHeight="true" outlineLevel="0" collapsed="false">
      <c r="A49" s="8" t="s">
        <v>334</v>
      </c>
      <c r="B49" s="8" t="s">
        <v>335</v>
      </c>
      <c r="C49" s="8"/>
      <c r="D49" s="8" t="s">
        <v>46</v>
      </c>
      <c r="E49" s="8" t="s">
        <v>328</v>
      </c>
      <c r="F49" s="8" t="s">
        <v>336</v>
      </c>
      <c r="G49" s="8" t="s">
        <v>337</v>
      </c>
      <c r="H49" s="8" t="s">
        <v>84</v>
      </c>
      <c r="I49" s="8" t="s">
        <v>338</v>
      </c>
      <c r="J49" s="8" t="s">
        <v>339</v>
      </c>
    </row>
    <row r="50" customFormat="false" ht="36" hidden="false" customHeight="true" outlineLevel="0" collapsed="false">
      <c r="A50" s="9" t="s">
        <v>340</v>
      </c>
      <c r="B50" s="9" t="s">
        <v>341</v>
      </c>
      <c r="C50" s="9"/>
      <c r="D50" s="9" t="s">
        <v>46</v>
      </c>
      <c r="E50" s="9" t="s">
        <v>328</v>
      </c>
      <c r="F50" s="9" t="s">
        <v>342</v>
      </c>
      <c r="G50" s="9" t="s">
        <v>343</v>
      </c>
      <c r="H50" s="9" t="s">
        <v>84</v>
      </c>
      <c r="I50" s="9" t="s">
        <v>344</v>
      </c>
      <c r="J50" s="9" t="s">
        <v>345</v>
      </c>
    </row>
    <row r="51" customFormat="false" ht="36" hidden="false" customHeight="true" outlineLevel="0" collapsed="false">
      <c r="A51" s="8" t="s">
        <v>346</v>
      </c>
      <c r="B51" s="8" t="s">
        <v>347</v>
      </c>
      <c r="C51" s="8" t="s">
        <v>348</v>
      </c>
      <c r="D51" s="8" t="s">
        <v>46</v>
      </c>
      <c r="E51" s="8" t="s">
        <v>328</v>
      </c>
      <c r="F51" s="8" t="s">
        <v>349</v>
      </c>
      <c r="G51" s="8" t="s">
        <v>350</v>
      </c>
      <c r="H51" s="8" t="s">
        <v>351</v>
      </c>
      <c r="I51" s="8" t="s">
        <v>352</v>
      </c>
      <c r="J51" s="8" t="s">
        <v>353</v>
      </c>
    </row>
    <row r="52" customFormat="false" ht="36" hidden="false" customHeight="true" outlineLevel="0" collapsed="false">
      <c r="A52" s="9" t="s">
        <v>354</v>
      </c>
      <c r="B52" s="9" t="s">
        <v>355</v>
      </c>
      <c r="C52" s="9"/>
      <c r="D52" s="9" t="s">
        <v>46</v>
      </c>
      <c r="E52" s="9" t="s">
        <v>328</v>
      </c>
      <c r="F52" s="9" t="s">
        <v>356</v>
      </c>
      <c r="G52" s="9" t="s">
        <v>357</v>
      </c>
      <c r="H52" s="9" t="s">
        <v>84</v>
      </c>
      <c r="I52" s="9" t="s">
        <v>358</v>
      </c>
      <c r="J52" s="9" t="s">
        <v>359</v>
      </c>
    </row>
    <row r="53" customFormat="false" ht="36" hidden="false" customHeight="true" outlineLevel="0" collapsed="false">
      <c r="A53" s="8" t="s">
        <v>360</v>
      </c>
      <c r="B53" s="8" t="s">
        <v>361</v>
      </c>
      <c r="C53" s="8"/>
      <c r="D53" s="8" t="s">
        <v>46</v>
      </c>
      <c r="E53" s="8" t="s">
        <v>328</v>
      </c>
      <c r="F53" s="8" t="s">
        <v>362</v>
      </c>
      <c r="G53" s="8" t="s">
        <v>363</v>
      </c>
      <c r="H53" s="8" t="s">
        <v>231</v>
      </c>
      <c r="I53" s="8" t="s">
        <v>364</v>
      </c>
      <c r="J53" s="8" t="s">
        <v>365</v>
      </c>
    </row>
    <row r="54" customFormat="false" ht="36" hidden="false" customHeight="true" outlineLevel="0" collapsed="false">
      <c r="A54" s="9" t="s">
        <v>366</v>
      </c>
      <c r="B54" s="9" t="s">
        <v>367</v>
      </c>
      <c r="C54" s="9"/>
      <c r="D54" s="9" t="s">
        <v>46</v>
      </c>
      <c r="E54" s="9" t="s">
        <v>328</v>
      </c>
      <c r="F54" s="9" t="s">
        <v>368</v>
      </c>
      <c r="G54" s="9" t="s">
        <v>369</v>
      </c>
      <c r="H54" s="9" t="s">
        <v>84</v>
      </c>
      <c r="I54" s="9" t="s">
        <v>370</v>
      </c>
      <c r="J54" s="9" t="s">
        <v>371</v>
      </c>
    </row>
    <row r="55" customFormat="false" ht="36" hidden="false" customHeight="true" outlineLevel="0" collapsed="false">
      <c r="A55" s="8" t="s">
        <v>372</v>
      </c>
      <c r="B55" s="8" t="s">
        <v>371</v>
      </c>
      <c r="C55" s="8" t="s">
        <v>371</v>
      </c>
      <c r="D55" s="8" t="s">
        <v>46</v>
      </c>
      <c r="E55" s="8" t="s">
        <v>328</v>
      </c>
      <c r="F55" s="8" t="s">
        <v>373</v>
      </c>
      <c r="G55" s="8" t="s">
        <v>374</v>
      </c>
      <c r="H55" s="8" t="s">
        <v>375</v>
      </c>
      <c r="I55" s="8" t="s">
        <v>376</v>
      </c>
      <c r="J55" s="8" t="s">
        <v>377</v>
      </c>
    </row>
    <row r="56" customFormat="false" ht="36" hidden="false" customHeight="true" outlineLevel="0" collapsed="false">
      <c r="A56" s="9" t="s">
        <v>378</v>
      </c>
      <c r="B56" s="9" t="s">
        <v>379</v>
      </c>
      <c r="C56" s="9"/>
      <c r="D56" s="9" t="s">
        <v>46</v>
      </c>
      <c r="E56" s="9" t="s">
        <v>328</v>
      </c>
      <c r="F56" s="9" t="s">
        <v>380</v>
      </c>
      <c r="G56" s="9" t="s">
        <v>381</v>
      </c>
      <c r="H56" s="9" t="s">
        <v>84</v>
      </c>
      <c r="I56" s="9" t="s">
        <v>382</v>
      </c>
      <c r="J56" s="9" t="s">
        <v>383</v>
      </c>
    </row>
    <row r="57" customFormat="false" ht="36" hidden="false" customHeight="true" outlineLevel="0" collapsed="false">
      <c r="A57" s="8" t="s">
        <v>384</v>
      </c>
      <c r="B57" s="8" t="s">
        <v>385</v>
      </c>
      <c r="C57" s="8"/>
      <c r="D57" s="8" t="s">
        <v>46</v>
      </c>
      <c r="E57" s="8" t="s">
        <v>328</v>
      </c>
      <c r="F57" s="8" t="s">
        <v>386</v>
      </c>
      <c r="G57" s="8" t="s">
        <v>387</v>
      </c>
      <c r="H57" s="8" t="s">
        <v>84</v>
      </c>
      <c r="I57" s="8" t="s">
        <v>388</v>
      </c>
      <c r="J57" s="8" t="s">
        <v>389</v>
      </c>
    </row>
    <row r="58" customFormat="false" ht="36" hidden="false" customHeight="true" outlineLevel="0" collapsed="false">
      <c r="A58" s="9" t="s">
        <v>390</v>
      </c>
      <c r="B58" s="9" t="s">
        <v>391</v>
      </c>
      <c r="C58" s="9"/>
      <c r="D58" s="9" t="s">
        <v>46</v>
      </c>
      <c r="E58" s="9" t="s">
        <v>154</v>
      </c>
      <c r="F58" s="9" t="s">
        <v>392</v>
      </c>
      <c r="G58" s="9" t="s">
        <v>393</v>
      </c>
      <c r="H58" s="9" t="s">
        <v>84</v>
      </c>
      <c r="I58" s="9" t="s">
        <v>394</v>
      </c>
      <c r="J58" s="9" t="s">
        <v>395</v>
      </c>
    </row>
    <row r="59" customFormat="false" ht="36" hidden="false" customHeight="true" outlineLevel="0" collapsed="false">
      <c r="A59" s="8" t="s">
        <v>396</v>
      </c>
      <c r="B59" s="8" t="s">
        <v>397</v>
      </c>
      <c r="C59" s="8"/>
      <c r="D59" s="8" t="s">
        <v>46</v>
      </c>
      <c r="E59" s="8" t="s">
        <v>154</v>
      </c>
      <c r="F59" s="8" t="s">
        <v>398</v>
      </c>
      <c r="G59" s="8" t="s">
        <v>399</v>
      </c>
      <c r="H59" s="8" t="s">
        <v>400</v>
      </c>
      <c r="I59" s="8" t="s">
        <v>401</v>
      </c>
      <c r="J59" s="8" t="s">
        <v>402</v>
      </c>
    </row>
    <row r="60" customFormat="false" ht="36" hidden="false" customHeight="true" outlineLevel="0" collapsed="false">
      <c r="A60" s="9" t="s">
        <v>403</v>
      </c>
      <c r="B60" s="9" t="s">
        <v>404</v>
      </c>
      <c r="C60" s="9"/>
      <c r="D60" s="9" t="s">
        <v>46</v>
      </c>
      <c r="E60" s="9" t="s">
        <v>154</v>
      </c>
      <c r="F60" s="9" t="s">
        <v>405</v>
      </c>
      <c r="G60" s="9" t="s">
        <v>406</v>
      </c>
      <c r="H60" s="9" t="s">
        <v>400</v>
      </c>
      <c r="I60" s="9" t="s">
        <v>407</v>
      </c>
      <c r="J60" s="9" t="s">
        <v>408</v>
      </c>
    </row>
    <row r="61" customFormat="false" ht="36" hidden="false" customHeight="true" outlineLevel="0" collapsed="false">
      <c r="A61" s="8" t="s">
        <v>409</v>
      </c>
      <c r="B61" s="8" t="s">
        <v>410</v>
      </c>
      <c r="C61" s="8"/>
      <c r="D61" s="8" t="s">
        <v>46</v>
      </c>
      <c r="E61" s="8" t="s">
        <v>154</v>
      </c>
      <c r="F61" s="8" t="s">
        <v>411</v>
      </c>
      <c r="G61" s="8" t="s">
        <v>412</v>
      </c>
      <c r="H61" s="8" t="s">
        <v>84</v>
      </c>
      <c r="I61" s="8" t="s">
        <v>413</v>
      </c>
      <c r="J61" s="8" t="s">
        <v>414</v>
      </c>
    </row>
    <row r="62" customFormat="false" ht="36" hidden="false" customHeight="true" outlineLevel="0" collapsed="false">
      <c r="A62" s="9" t="s">
        <v>415</v>
      </c>
      <c r="B62" s="9" t="s">
        <v>416</v>
      </c>
      <c r="C62" s="9"/>
      <c r="D62" s="9" t="s">
        <v>46</v>
      </c>
      <c r="E62" s="9" t="s">
        <v>154</v>
      </c>
      <c r="F62" s="9" t="s">
        <v>417</v>
      </c>
      <c r="G62" s="9" t="s">
        <v>418</v>
      </c>
      <c r="H62" s="9" t="s">
        <v>231</v>
      </c>
      <c r="I62" s="9" t="s">
        <v>419</v>
      </c>
      <c r="J62" s="9" t="s">
        <v>420</v>
      </c>
    </row>
    <row r="63" customFormat="false" ht="36" hidden="false" customHeight="true" outlineLevel="0" collapsed="false">
      <c r="A63" s="8" t="s">
        <v>421</v>
      </c>
      <c r="B63" s="8" t="s">
        <v>422</v>
      </c>
      <c r="C63" s="8"/>
      <c r="D63" s="8" t="s">
        <v>46</v>
      </c>
      <c r="E63" s="8" t="s">
        <v>228</v>
      </c>
      <c r="F63" s="8" t="s">
        <v>423</v>
      </c>
      <c r="G63" s="8" t="s">
        <v>424</v>
      </c>
      <c r="H63" s="8" t="s">
        <v>84</v>
      </c>
      <c r="I63" s="8" t="s">
        <v>425</v>
      </c>
      <c r="J63" s="8" t="s">
        <v>426</v>
      </c>
    </row>
    <row r="64" customFormat="false" ht="36" hidden="false" customHeight="true" outlineLevel="0" collapsed="false">
      <c r="A64" s="9" t="s">
        <v>427</v>
      </c>
      <c r="B64" s="9" t="s">
        <v>428</v>
      </c>
      <c r="C64" s="9"/>
      <c r="D64" s="9" t="s">
        <v>46</v>
      </c>
      <c r="E64" s="9" t="s">
        <v>429</v>
      </c>
      <c r="F64" s="9" t="s">
        <v>430</v>
      </c>
      <c r="G64" s="9" t="s">
        <v>431</v>
      </c>
      <c r="H64" s="9" t="s">
        <v>432</v>
      </c>
      <c r="I64" s="9" t="s">
        <v>433</v>
      </c>
      <c r="J64" s="9" t="s">
        <v>434</v>
      </c>
    </row>
    <row r="65" customFormat="false" ht="36" hidden="false" customHeight="true" outlineLevel="0" collapsed="false">
      <c r="A65" s="8" t="s">
        <v>435</v>
      </c>
      <c r="B65" s="8" t="s">
        <v>436</v>
      </c>
      <c r="C65" s="8" t="s">
        <v>434</v>
      </c>
      <c r="D65" s="8" t="s">
        <v>46</v>
      </c>
      <c r="E65" s="8" t="s">
        <v>429</v>
      </c>
      <c r="F65" s="8" t="s">
        <v>437</v>
      </c>
      <c r="G65" s="8" t="s">
        <v>438</v>
      </c>
      <c r="H65" s="8" t="s">
        <v>439</v>
      </c>
      <c r="I65" s="8" t="s">
        <v>440</v>
      </c>
      <c r="J65" s="8" t="s">
        <v>441</v>
      </c>
    </row>
    <row r="66" customFormat="false" ht="36" hidden="false" customHeight="true" outlineLevel="0" collapsed="false">
      <c r="A66" s="9" t="s">
        <v>442</v>
      </c>
      <c r="B66" s="9" t="s">
        <v>443</v>
      </c>
      <c r="C66" s="9"/>
      <c r="D66" s="9" t="s">
        <v>46</v>
      </c>
      <c r="E66" s="9" t="s">
        <v>429</v>
      </c>
      <c r="F66" s="9" t="s">
        <v>444</v>
      </c>
      <c r="G66" s="9" t="s">
        <v>443</v>
      </c>
      <c r="H66" s="9" t="s">
        <v>238</v>
      </c>
      <c r="I66" s="9" t="s">
        <v>445</v>
      </c>
      <c r="J66" s="9" t="s">
        <v>446</v>
      </c>
    </row>
    <row r="67" customFormat="false" ht="36" hidden="false" customHeight="true" outlineLevel="0" collapsed="false">
      <c r="A67" s="8" t="s">
        <v>447</v>
      </c>
      <c r="B67" s="8" t="s">
        <v>446</v>
      </c>
      <c r="C67" s="8"/>
      <c r="D67" s="8" t="s">
        <v>46</v>
      </c>
      <c r="E67" s="8" t="s">
        <v>429</v>
      </c>
      <c r="F67" s="8" t="s">
        <v>448</v>
      </c>
      <c r="G67" s="8" t="s">
        <v>446</v>
      </c>
      <c r="H67" s="8" t="s">
        <v>238</v>
      </c>
      <c r="I67" s="8" t="s">
        <v>445</v>
      </c>
      <c r="J67" s="8" t="s">
        <v>443</v>
      </c>
    </row>
    <row r="68" customFormat="false" ht="36" hidden="false" customHeight="true" outlineLevel="0" collapsed="false">
      <c r="A68" s="9" t="s">
        <v>449</v>
      </c>
      <c r="B68" s="9" t="s">
        <v>450</v>
      </c>
      <c r="C68" s="9"/>
      <c r="D68" s="9" t="s">
        <v>46</v>
      </c>
      <c r="E68" s="9" t="s">
        <v>154</v>
      </c>
      <c r="F68" s="9" t="s">
        <v>451</v>
      </c>
      <c r="G68" s="9" t="s">
        <v>452</v>
      </c>
      <c r="H68" s="9" t="s">
        <v>453</v>
      </c>
      <c r="I68" s="9" t="s">
        <v>454</v>
      </c>
      <c r="J68" s="9" t="s">
        <v>455</v>
      </c>
    </row>
    <row r="69" customFormat="false" ht="36" hidden="false" customHeight="true" outlineLevel="0" collapsed="false">
      <c r="A69" s="8" t="s">
        <v>456</v>
      </c>
      <c r="B69" s="8" t="s">
        <v>457</v>
      </c>
      <c r="C69" s="8" t="s">
        <v>455</v>
      </c>
      <c r="D69" s="8" t="s">
        <v>46</v>
      </c>
      <c r="E69" s="8" t="s">
        <v>154</v>
      </c>
      <c r="F69" s="8" t="s">
        <v>458</v>
      </c>
      <c r="G69" s="8" t="s">
        <v>459</v>
      </c>
      <c r="H69" s="8" t="s">
        <v>400</v>
      </c>
      <c r="I69" s="8" t="s">
        <v>460</v>
      </c>
      <c r="J69" s="8" t="s">
        <v>461</v>
      </c>
    </row>
    <row r="70" customFormat="false" ht="36" hidden="false" customHeight="true" outlineLevel="0" collapsed="false">
      <c r="A70" s="9" t="s">
        <v>462</v>
      </c>
      <c r="B70" s="9" t="s">
        <v>463</v>
      </c>
      <c r="C70" s="9"/>
      <c r="D70" s="9" t="s">
        <v>46</v>
      </c>
      <c r="E70" s="9" t="s">
        <v>154</v>
      </c>
      <c r="F70" s="9" t="s">
        <v>464</v>
      </c>
      <c r="G70" s="9" t="s">
        <v>465</v>
      </c>
      <c r="H70" s="9" t="s">
        <v>84</v>
      </c>
      <c r="I70" s="9" t="s">
        <v>466</v>
      </c>
      <c r="J70" s="9" t="s">
        <v>383</v>
      </c>
    </row>
    <row r="71" customFormat="false" ht="36" hidden="false" customHeight="true" outlineLevel="0" collapsed="false">
      <c r="A71" s="8" t="s">
        <v>467</v>
      </c>
      <c r="B71" s="8" t="s">
        <v>468</v>
      </c>
      <c r="C71" s="8"/>
      <c r="D71" s="8" t="s">
        <v>46</v>
      </c>
      <c r="E71" s="8" t="s">
        <v>154</v>
      </c>
      <c r="F71" s="8" t="s">
        <v>469</v>
      </c>
      <c r="G71" s="8" t="s">
        <v>470</v>
      </c>
      <c r="H71" s="8" t="s">
        <v>471</v>
      </c>
      <c r="I71" s="8" t="s">
        <v>472</v>
      </c>
      <c r="J71" s="8" t="s">
        <v>473</v>
      </c>
    </row>
    <row r="72" customFormat="false" ht="36" hidden="false" customHeight="true" outlineLevel="0" collapsed="false">
      <c r="A72" s="9" t="s">
        <v>474</v>
      </c>
      <c r="B72" s="9" t="s">
        <v>475</v>
      </c>
      <c r="C72" s="9" t="s">
        <v>476</v>
      </c>
      <c r="D72" s="9" t="s">
        <v>46</v>
      </c>
      <c r="E72" s="9" t="s">
        <v>477</v>
      </c>
      <c r="F72" s="9" t="s">
        <v>478</v>
      </c>
      <c r="G72" s="9" t="s">
        <v>479</v>
      </c>
      <c r="H72" s="9" t="s">
        <v>480</v>
      </c>
      <c r="I72" s="9" t="s">
        <v>481</v>
      </c>
      <c r="J72" s="9" t="s">
        <v>482</v>
      </c>
    </row>
    <row r="73" customFormat="false" ht="36" hidden="false" customHeight="true" outlineLevel="0" collapsed="false">
      <c r="A73" s="8" t="s">
        <v>483</v>
      </c>
      <c r="B73" s="8" t="s">
        <v>484</v>
      </c>
      <c r="C73" s="8"/>
      <c r="D73" s="8" t="s">
        <v>46</v>
      </c>
      <c r="E73" s="8" t="s">
        <v>485</v>
      </c>
      <c r="F73" s="8" t="s">
        <v>486</v>
      </c>
      <c r="G73" s="8" t="s">
        <v>487</v>
      </c>
      <c r="H73" s="8" t="s">
        <v>488</v>
      </c>
      <c r="I73" s="8" t="s">
        <v>489</v>
      </c>
      <c r="J73" s="8" t="s">
        <v>490</v>
      </c>
    </row>
    <row r="74" customFormat="false" ht="36" hidden="false" customHeight="true" outlineLevel="0" collapsed="false">
      <c r="A74" s="9" t="s">
        <v>491</v>
      </c>
      <c r="B74" s="9" t="s">
        <v>492</v>
      </c>
      <c r="C74" s="9"/>
      <c r="D74" s="9" t="s">
        <v>46</v>
      </c>
      <c r="E74" s="9" t="s">
        <v>485</v>
      </c>
      <c r="F74" s="9" t="s">
        <v>493</v>
      </c>
      <c r="G74" s="9" t="s">
        <v>494</v>
      </c>
      <c r="H74" s="9" t="s">
        <v>495</v>
      </c>
      <c r="I74" s="9" t="s">
        <v>496</v>
      </c>
      <c r="J74" s="9" t="s">
        <v>497</v>
      </c>
    </row>
    <row r="75" customFormat="false" ht="36" hidden="false" customHeight="true" outlineLevel="0" collapsed="false">
      <c r="A75" s="8" t="s">
        <v>498</v>
      </c>
      <c r="B75" s="8" t="s">
        <v>499</v>
      </c>
      <c r="C75" s="8"/>
      <c r="D75" s="8" t="s">
        <v>46</v>
      </c>
      <c r="E75" s="8" t="s">
        <v>500</v>
      </c>
      <c r="F75" s="8" t="s">
        <v>501</v>
      </c>
      <c r="G75" s="8" t="s">
        <v>502</v>
      </c>
      <c r="H75" s="8" t="s">
        <v>84</v>
      </c>
      <c r="I75" s="8" t="s">
        <v>503</v>
      </c>
      <c r="J75" s="8" t="s">
        <v>504</v>
      </c>
    </row>
    <row r="76" customFormat="false" ht="36" hidden="false" customHeight="true" outlineLevel="0" collapsed="false">
      <c r="A76" s="9" t="s">
        <v>505</v>
      </c>
      <c r="B76" s="9" t="s">
        <v>506</v>
      </c>
      <c r="C76" s="9"/>
      <c r="D76" s="9" t="s">
        <v>46</v>
      </c>
      <c r="E76" s="9" t="s">
        <v>500</v>
      </c>
      <c r="F76" s="9" t="s">
        <v>507</v>
      </c>
      <c r="G76" s="9" t="s">
        <v>508</v>
      </c>
      <c r="H76" s="9" t="s">
        <v>509</v>
      </c>
      <c r="I76" s="9" t="s">
        <v>510</v>
      </c>
      <c r="J76" s="9" t="s">
        <v>504</v>
      </c>
    </row>
    <row r="77" customFormat="false" ht="36" hidden="false" customHeight="true" outlineLevel="0" collapsed="false">
      <c r="A77" s="8" t="s">
        <v>511</v>
      </c>
      <c r="B77" s="8" t="s">
        <v>512</v>
      </c>
      <c r="C77" s="8"/>
      <c r="D77" s="8" t="s">
        <v>46</v>
      </c>
      <c r="E77" s="8" t="s">
        <v>500</v>
      </c>
      <c r="F77" s="8" t="s">
        <v>513</v>
      </c>
      <c r="G77" s="8" t="s">
        <v>514</v>
      </c>
      <c r="H77" s="8" t="s">
        <v>84</v>
      </c>
      <c r="I77" s="8" t="s">
        <v>515</v>
      </c>
      <c r="J77" s="8" t="s">
        <v>516</v>
      </c>
    </row>
    <row r="78" customFormat="false" ht="36" hidden="false" customHeight="true" outlineLevel="0" collapsed="false">
      <c r="A78" s="9" t="s">
        <v>517</v>
      </c>
      <c r="B78" s="9" t="s">
        <v>518</v>
      </c>
      <c r="C78" s="9"/>
      <c r="D78" s="9" t="s">
        <v>46</v>
      </c>
      <c r="E78" s="9" t="s">
        <v>154</v>
      </c>
      <c r="F78" s="9" t="s">
        <v>519</v>
      </c>
      <c r="G78" s="9" t="s">
        <v>520</v>
      </c>
      <c r="H78" s="9" t="s">
        <v>84</v>
      </c>
      <c r="I78" s="9" t="s">
        <v>521</v>
      </c>
      <c r="J78" s="9" t="s">
        <v>176</v>
      </c>
    </row>
    <row r="79" customFormat="false" ht="36" hidden="false" customHeight="true" outlineLevel="0" collapsed="false">
      <c r="A79" s="8" t="s">
        <v>522</v>
      </c>
      <c r="B79" s="8" t="s">
        <v>523</v>
      </c>
      <c r="C79" s="8" t="s">
        <v>524</v>
      </c>
      <c r="D79" s="8" t="s">
        <v>46</v>
      </c>
      <c r="E79" s="8" t="s">
        <v>525</v>
      </c>
      <c r="F79" s="8" t="s">
        <v>526</v>
      </c>
      <c r="G79" s="8" t="s">
        <v>527</v>
      </c>
      <c r="H79" s="8" t="s">
        <v>84</v>
      </c>
      <c r="I79" s="8" t="s">
        <v>528</v>
      </c>
      <c r="J79" s="8" t="s">
        <v>397</v>
      </c>
    </row>
    <row r="80" customFormat="false" ht="36" hidden="false" customHeight="true" outlineLevel="0" collapsed="false">
      <c r="A80" s="9" t="s">
        <v>529</v>
      </c>
      <c r="B80" s="9" t="s">
        <v>530</v>
      </c>
      <c r="C80" s="9" t="s">
        <v>531</v>
      </c>
      <c r="D80" s="9" t="s">
        <v>46</v>
      </c>
      <c r="E80" s="9" t="s">
        <v>525</v>
      </c>
      <c r="F80" s="9" t="s">
        <v>532</v>
      </c>
      <c r="G80" s="9" t="s">
        <v>533</v>
      </c>
      <c r="H80" s="9" t="s">
        <v>534</v>
      </c>
      <c r="I80" s="9" t="s">
        <v>535</v>
      </c>
      <c r="J80" s="9" t="s">
        <v>536</v>
      </c>
    </row>
    <row r="81" customFormat="false" ht="36" hidden="false" customHeight="true" outlineLevel="0" collapsed="false">
      <c r="A81" s="8" t="s">
        <v>537</v>
      </c>
      <c r="B81" s="8" t="s">
        <v>538</v>
      </c>
      <c r="C81" s="8" t="s">
        <v>539</v>
      </c>
      <c r="D81" s="8" t="s">
        <v>46</v>
      </c>
      <c r="E81" s="8" t="s">
        <v>320</v>
      </c>
      <c r="F81" s="8" t="s">
        <v>540</v>
      </c>
      <c r="G81" s="8" t="s">
        <v>541</v>
      </c>
      <c r="H81" s="8" t="s">
        <v>542</v>
      </c>
      <c r="I81" s="8" t="s">
        <v>543</v>
      </c>
      <c r="J81" s="8" t="s">
        <v>320</v>
      </c>
    </row>
    <row r="82" customFormat="false" ht="36" hidden="false" customHeight="true" outlineLevel="0" collapsed="false">
      <c r="A82" s="9" t="s">
        <v>544</v>
      </c>
      <c r="B82" s="9" t="s">
        <v>545</v>
      </c>
      <c r="C82" s="9" t="s">
        <v>546</v>
      </c>
      <c r="D82" s="9" t="s">
        <v>46</v>
      </c>
      <c r="E82" s="9" t="s">
        <v>320</v>
      </c>
      <c r="F82" s="9" t="s">
        <v>547</v>
      </c>
      <c r="G82" s="9" t="s">
        <v>548</v>
      </c>
      <c r="H82" s="9" t="s">
        <v>84</v>
      </c>
      <c r="I82" s="9" t="s">
        <v>549</v>
      </c>
      <c r="J82" s="9" t="s">
        <v>550</v>
      </c>
    </row>
    <row r="83" customFormat="false" ht="36" hidden="false" customHeight="true" outlineLevel="0" collapsed="false">
      <c r="A83" s="8" t="s">
        <v>551</v>
      </c>
      <c r="B83" s="8" t="s">
        <v>552</v>
      </c>
      <c r="C83" s="8" t="s">
        <v>550</v>
      </c>
      <c r="D83" s="8" t="s">
        <v>46</v>
      </c>
      <c r="E83" s="8" t="s">
        <v>320</v>
      </c>
      <c r="F83" s="8" t="s">
        <v>553</v>
      </c>
      <c r="G83" s="8" t="s">
        <v>554</v>
      </c>
      <c r="H83" s="8" t="s">
        <v>555</v>
      </c>
      <c r="I83" s="8" t="s">
        <v>556</v>
      </c>
      <c r="J83" s="8" t="s">
        <v>557</v>
      </c>
    </row>
    <row r="84" customFormat="false" ht="36" hidden="false" customHeight="true" outlineLevel="0" collapsed="false">
      <c r="A84" s="9" t="s">
        <v>558</v>
      </c>
      <c r="B84" s="9" t="s">
        <v>559</v>
      </c>
      <c r="C84" s="9" t="s">
        <v>560</v>
      </c>
      <c r="D84" s="9" t="s">
        <v>46</v>
      </c>
      <c r="E84" s="9" t="s">
        <v>320</v>
      </c>
      <c r="F84" s="9" t="s">
        <v>561</v>
      </c>
      <c r="G84" s="9" t="s">
        <v>562</v>
      </c>
      <c r="H84" s="9" t="s">
        <v>563</v>
      </c>
      <c r="I84" s="9" t="s">
        <v>564</v>
      </c>
      <c r="J84" s="9" t="s">
        <v>565</v>
      </c>
    </row>
    <row r="85" customFormat="false" ht="36" hidden="false" customHeight="true" outlineLevel="0" collapsed="false">
      <c r="A85" s="8" t="s">
        <v>566</v>
      </c>
      <c r="B85" s="8" t="s">
        <v>567</v>
      </c>
      <c r="C85" s="8"/>
      <c r="D85" s="8" t="s">
        <v>46</v>
      </c>
      <c r="E85" s="8" t="s">
        <v>154</v>
      </c>
      <c r="F85" s="8" t="s">
        <v>568</v>
      </c>
      <c r="G85" s="8" t="s">
        <v>569</v>
      </c>
      <c r="H85" s="8" t="s">
        <v>84</v>
      </c>
      <c r="I85" s="8" t="s">
        <v>570</v>
      </c>
      <c r="J85" s="8" t="s">
        <v>571</v>
      </c>
    </row>
    <row r="86" customFormat="false" ht="36" hidden="false" customHeight="true" outlineLevel="0" collapsed="false">
      <c r="A86" s="9" t="s">
        <v>572</v>
      </c>
      <c r="B86" s="9" t="s">
        <v>573</v>
      </c>
      <c r="C86" s="9"/>
      <c r="D86" s="9" t="s">
        <v>46</v>
      </c>
      <c r="E86" s="9" t="s">
        <v>574</v>
      </c>
      <c r="F86" s="9" t="s">
        <v>575</v>
      </c>
      <c r="G86" s="9" t="s">
        <v>576</v>
      </c>
      <c r="H86" s="9" t="s">
        <v>66</v>
      </c>
      <c r="I86" s="9" t="s">
        <v>577</v>
      </c>
      <c r="J86" s="9" t="s">
        <v>571</v>
      </c>
    </row>
    <row r="87" customFormat="false" ht="36" hidden="false" customHeight="true" outlineLevel="0" collapsed="false">
      <c r="A87" s="8" t="s">
        <v>578</v>
      </c>
      <c r="B87" s="8" t="s">
        <v>579</v>
      </c>
      <c r="C87" s="8" t="s">
        <v>250</v>
      </c>
      <c r="D87" s="8" t="s">
        <v>46</v>
      </c>
      <c r="E87" s="8" t="s">
        <v>580</v>
      </c>
      <c r="F87" s="8" t="s">
        <v>581</v>
      </c>
      <c r="G87" s="8" t="s">
        <v>582</v>
      </c>
      <c r="H87" s="8" t="s">
        <v>583</v>
      </c>
      <c r="I87" s="8" t="s">
        <v>584</v>
      </c>
      <c r="J87" s="8" t="s">
        <v>585</v>
      </c>
    </row>
    <row r="88" customFormat="false" ht="36" hidden="false" customHeight="true" outlineLevel="0" collapsed="false">
      <c r="A88" s="9" t="s">
        <v>586</v>
      </c>
      <c r="B88" s="9" t="s">
        <v>580</v>
      </c>
      <c r="C88" s="9"/>
      <c r="D88" s="9" t="s">
        <v>46</v>
      </c>
      <c r="E88" s="9" t="s">
        <v>580</v>
      </c>
      <c r="F88" s="9" t="s">
        <v>587</v>
      </c>
      <c r="G88" s="9" t="s">
        <v>588</v>
      </c>
      <c r="H88" s="9" t="s">
        <v>589</v>
      </c>
      <c r="I88" s="9" t="s">
        <v>590</v>
      </c>
      <c r="J88" s="9" t="s">
        <v>591</v>
      </c>
    </row>
    <row r="89" customFormat="false" ht="36" hidden="false" customHeight="true" outlineLevel="0" collapsed="false">
      <c r="A89" s="8" t="s">
        <v>592</v>
      </c>
      <c r="B89" s="8" t="s">
        <v>593</v>
      </c>
      <c r="C89" s="8"/>
      <c r="D89" s="8" t="s">
        <v>46</v>
      </c>
      <c r="E89" s="8" t="s">
        <v>580</v>
      </c>
      <c r="F89" s="8" t="s">
        <v>594</v>
      </c>
      <c r="G89" s="8" t="s">
        <v>595</v>
      </c>
      <c r="H89" s="8" t="s">
        <v>589</v>
      </c>
      <c r="I89" s="8" t="s">
        <v>596</v>
      </c>
      <c r="J89" s="8" t="s">
        <v>597</v>
      </c>
    </row>
    <row r="90" customFormat="false" ht="36" hidden="false" customHeight="true" outlineLevel="0" collapsed="false">
      <c r="A90" s="9" t="s">
        <v>598</v>
      </c>
      <c r="B90" s="9" t="s">
        <v>599</v>
      </c>
      <c r="C90" s="9" t="s">
        <v>600</v>
      </c>
      <c r="D90" s="9" t="s">
        <v>46</v>
      </c>
      <c r="E90" s="9" t="s">
        <v>580</v>
      </c>
      <c r="F90" s="9" t="s">
        <v>601</v>
      </c>
      <c r="G90" s="9" t="s">
        <v>602</v>
      </c>
      <c r="H90" s="9" t="s">
        <v>453</v>
      </c>
      <c r="I90" s="9" t="s">
        <v>603</v>
      </c>
      <c r="J90" s="9" t="s">
        <v>604</v>
      </c>
    </row>
    <row r="91" customFormat="false" ht="36" hidden="false" customHeight="true" outlineLevel="0" collapsed="false">
      <c r="A91" s="8" t="s">
        <v>605</v>
      </c>
      <c r="B91" s="8" t="s">
        <v>606</v>
      </c>
      <c r="C91" s="8" t="s">
        <v>604</v>
      </c>
      <c r="D91" s="8" t="s">
        <v>46</v>
      </c>
      <c r="E91" s="8" t="s">
        <v>580</v>
      </c>
      <c r="F91" s="8" t="s">
        <v>607</v>
      </c>
      <c r="G91" s="8" t="s">
        <v>608</v>
      </c>
      <c r="H91" s="8" t="s">
        <v>84</v>
      </c>
      <c r="I91" s="8" t="s">
        <v>609</v>
      </c>
      <c r="J91" s="8" t="s">
        <v>600</v>
      </c>
    </row>
    <row r="92" customFormat="false" ht="36" hidden="false" customHeight="true" outlineLevel="0" collapsed="false">
      <c r="A92" s="9" t="s">
        <v>610</v>
      </c>
      <c r="B92" s="9" t="s">
        <v>611</v>
      </c>
      <c r="C92" s="9"/>
      <c r="D92" s="9" t="s">
        <v>46</v>
      </c>
      <c r="E92" s="9" t="s">
        <v>580</v>
      </c>
      <c r="F92" s="9" t="s">
        <v>612</v>
      </c>
      <c r="G92" s="9" t="s">
        <v>613</v>
      </c>
      <c r="H92" s="9" t="s">
        <v>84</v>
      </c>
      <c r="I92" s="9" t="s">
        <v>614</v>
      </c>
      <c r="J92" s="9" t="s">
        <v>615</v>
      </c>
    </row>
    <row r="93" customFormat="false" ht="36" hidden="false" customHeight="true" outlineLevel="0" collapsed="false">
      <c r="A93" s="8" t="s">
        <v>616</v>
      </c>
      <c r="B93" s="8" t="s">
        <v>591</v>
      </c>
      <c r="C93" s="8" t="s">
        <v>591</v>
      </c>
      <c r="D93" s="8" t="s">
        <v>46</v>
      </c>
      <c r="E93" s="8" t="s">
        <v>617</v>
      </c>
      <c r="F93" s="8" t="s">
        <v>618</v>
      </c>
      <c r="G93" s="8" t="s">
        <v>591</v>
      </c>
      <c r="H93" s="8" t="s">
        <v>619</v>
      </c>
      <c r="I93" s="8" t="s">
        <v>620</v>
      </c>
      <c r="J93" s="8" t="s">
        <v>580</v>
      </c>
    </row>
    <row r="94" customFormat="false" ht="36" hidden="false" customHeight="true" outlineLevel="0" collapsed="false">
      <c r="A94" s="9" t="s">
        <v>621</v>
      </c>
      <c r="B94" s="9" t="s">
        <v>597</v>
      </c>
      <c r="C94" s="9" t="s">
        <v>597</v>
      </c>
      <c r="D94" s="9" t="s">
        <v>46</v>
      </c>
      <c r="E94" s="9" t="s">
        <v>617</v>
      </c>
      <c r="F94" s="9" t="s">
        <v>622</v>
      </c>
      <c r="G94" s="9" t="s">
        <v>597</v>
      </c>
      <c r="H94" s="9" t="s">
        <v>623</v>
      </c>
      <c r="I94" s="9" t="s">
        <v>624</v>
      </c>
      <c r="J94" s="9" t="s">
        <v>593</v>
      </c>
    </row>
    <row r="95" customFormat="false" ht="36" hidden="false" customHeight="true" outlineLevel="0" collapsed="false">
      <c r="A95" s="8" t="s">
        <v>625</v>
      </c>
      <c r="B95" s="8" t="s">
        <v>585</v>
      </c>
      <c r="C95" s="8" t="s">
        <v>585</v>
      </c>
      <c r="D95" s="8" t="s">
        <v>46</v>
      </c>
      <c r="E95" s="8" t="s">
        <v>617</v>
      </c>
      <c r="F95" s="8" t="s">
        <v>626</v>
      </c>
      <c r="G95" s="8" t="s">
        <v>627</v>
      </c>
      <c r="H95" s="8" t="s">
        <v>589</v>
      </c>
      <c r="I95" s="8" t="s">
        <v>628</v>
      </c>
      <c r="J95" s="8" t="s">
        <v>250</v>
      </c>
    </row>
    <row r="96" customFormat="false" ht="36" hidden="false" customHeight="true" outlineLevel="0" collapsed="false">
      <c r="A96" s="9" t="s">
        <v>629</v>
      </c>
      <c r="B96" s="9" t="s">
        <v>630</v>
      </c>
      <c r="C96" s="9" t="s">
        <v>631</v>
      </c>
      <c r="D96" s="9" t="s">
        <v>46</v>
      </c>
      <c r="E96" s="9" t="s">
        <v>580</v>
      </c>
      <c r="F96" s="9" t="s">
        <v>632</v>
      </c>
      <c r="G96" s="9" t="s">
        <v>633</v>
      </c>
      <c r="H96" s="9" t="s">
        <v>400</v>
      </c>
      <c r="I96" s="9" t="s">
        <v>634</v>
      </c>
      <c r="J96" s="9" t="s">
        <v>635</v>
      </c>
    </row>
    <row r="97" customFormat="false" ht="36" hidden="false" customHeight="true" outlineLevel="0" collapsed="false">
      <c r="A97" s="8" t="s">
        <v>636</v>
      </c>
      <c r="B97" s="8" t="s">
        <v>637</v>
      </c>
      <c r="C97" s="8" t="s">
        <v>635</v>
      </c>
      <c r="D97" s="8" t="s">
        <v>46</v>
      </c>
      <c r="E97" s="8" t="s">
        <v>580</v>
      </c>
      <c r="F97" s="8" t="s">
        <v>638</v>
      </c>
      <c r="G97" s="8" t="s">
        <v>639</v>
      </c>
      <c r="H97" s="8" t="s">
        <v>400</v>
      </c>
      <c r="I97" s="8" t="s">
        <v>640</v>
      </c>
      <c r="J97" s="8" t="s">
        <v>641</v>
      </c>
    </row>
    <row r="98" customFormat="false" ht="36" hidden="false" customHeight="true" outlineLevel="0" collapsed="false">
      <c r="A98" s="9" t="s">
        <v>642</v>
      </c>
      <c r="B98" s="9" t="s">
        <v>643</v>
      </c>
      <c r="C98" s="9" t="s">
        <v>641</v>
      </c>
      <c r="D98" s="9" t="s">
        <v>46</v>
      </c>
      <c r="E98" s="9" t="s">
        <v>580</v>
      </c>
      <c r="F98" s="9" t="s">
        <v>644</v>
      </c>
      <c r="G98" s="9" t="s">
        <v>645</v>
      </c>
      <c r="H98" s="9" t="s">
        <v>400</v>
      </c>
      <c r="I98" s="9" t="s">
        <v>646</v>
      </c>
      <c r="J98" s="9" t="s">
        <v>635</v>
      </c>
    </row>
    <row r="99" customFormat="false" ht="36" hidden="false" customHeight="true" outlineLevel="0" collapsed="false">
      <c r="A99" s="8" t="s">
        <v>647</v>
      </c>
      <c r="B99" s="8" t="s">
        <v>176</v>
      </c>
      <c r="C99" s="8"/>
      <c r="D99" s="8" t="s">
        <v>46</v>
      </c>
      <c r="E99" s="8" t="s">
        <v>269</v>
      </c>
      <c r="F99" s="8" t="s">
        <v>648</v>
      </c>
      <c r="G99" s="8" t="s">
        <v>649</v>
      </c>
      <c r="H99" s="8" t="s">
        <v>650</v>
      </c>
      <c r="I99" s="8" t="s">
        <v>651</v>
      </c>
      <c r="J99" s="8" t="s">
        <v>164</v>
      </c>
    </row>
    <row r="100" customFormat="false" ht="36" hidden="false" customHeight="true" outlineLevel="0" collapsed="false">
      <c r="A100" s="9" t="s">
        <v>652</v>
      </c>
      <c r="B100" s="9" t="s">
        <v>653</v>
      </c>
      <c r="C100" s="9"/>
      <c r="D100" s="9" t="s">
        <v>46</v>
      </c>
      <c r="E100" s="9" t="s">
        <v>269</v>
      </c>
      <c r="F100" s="9" t="s">
        <v>654</v>
      </c>
      <c r="G100" s="9" t="s">
        <v>655</v>
      </c>
      <c r="H100" s="9" t="s">
        <v>238</v>
      </c>
      <c r="I100" s="9" t="s">
        <v>656</v>
      </c>
      <c r="J100" s="9" t="s">
        <v>657</v>
      </c>
    </row>
    <row r="101" customFormat="false" ht="36" hidden="false" customHeight="true" outlineLevel="0" collapsed="false">
      <c r="A101" s="8" t="s">
        <v>658</v>
      </c>
      <c r="B101" s="8" t="s">
        <v>659</v>
      </c>
      <c r="C101" s="8"/>
      <c r="D101" s="8" t="s">
        <v>46</v>
      </c>
      <c r="E101" s="8" t="s">
        <v>269</v>
      </c>
      <c r="F101" s="8" t="s">
        <v>660</v>
      </c>
      <c r="G101" s="8" t="s">
        <v>661</v>
      </c>
      <c r="H101" s="8" t="s">
        <v>238</v>
      </c>
      <c r="I101" s="8" t="s">
        <v>662</v>
      </c>
      <c r="J101" s="8" t="s">
        <v>434</v>
      </c>
    </row>
    <row r="102" customFormat="false" ht="36" hidden="false" customHeight="true" outlineLevel="0" collapsed="false">
      <c r="A102" s="9" t="s">
        <v>663</v>
      </c>
      <c r="B102" s="9" t="s">
        <v>664</v>
      </c>
      <c r="C102" s="9" t="s">
        <v>118</v>
      </c>
      <c r="D102" s="9" t="s">
        <v>665</v>
      </c>
      <c r="E102" s="9" t="s">
        <v>666</v>
      </c>
      <c r="F102" s="9" t="s">
        <v>667</v>
      </c>
      <c r="G102" s="9" t="s">
        <v>668</v>
      </c>
      <c r="H102" s="9" t="s">
        <v>66</v>
      </c>
      <c r="I102" s="9" t="s">
        <v>669</v>
      </c>
      <c r="J102" s="9" t="s">
        <v>108</v>
      </c>
    </row>
    <row r="103" customFormat="false" ht="36" hidden="false" customHeight="true" outlineLevel="0" collapsed="false">
      <c r="A103" s="8" t="s">
        <v>670</v>
      </c>
      <c r="B103" s="8" t="s">
        <v>671</v>
      </c>
      <c r="C103" s="8" t="s">
        <v>672</v>
      </c>
      <c r="D103" s="8" t="s">
        <v>665</v>
      </c>
      <c r="E103" s="8" t="s">
        <v>666</v>
      </c>
      <c r="F103" s="8" t="s">
        <v>673</v>
      </c>
      <c r="G103" s="8" t="s">
        <v>674</v>
      </c>
      <c r="H103" s="8" t="s">
        <v>66</v>
      </c>
      <c r="I103" s="8" t="s">
        <v>675</v>
      </c>
      <c r="J103" s="8" t="s">
        <v>118</v>
      </c>
    </row>
    <row r="104" customFormat="false" ht="36" hidden="false" customHeight="true" outlineLevel="0" collapsed="false">
      <c r="A104" s="9" t="s">
        <v>676</v>
      </c>
      <c r="B104" s="9" t="s">
        <v>677</v>
      </c>
      <c r="C104" s="9" t="s">
        <v>678</v>
      </c>
      <c r="D104" s="9" t="s">
        <v>665</v>
      </c>
      <c r="E104" s="9" t="s">
        <v>666</v>
      </c>
      <c r="F104" s="9" t="s">
        <v>679</v>
      </c>
      <c r="G104" s="9" t="s">
        <v>680</v>
      </c>
      <c r="H104" s="9" t="s">
        <v>66</v>
      </c>
      <c r="I104" s="9" t="s">
        <v>681</v>
      </c>
      <c r="J104" s="9" t="s">
        <v>108</v>
      </c>
    </row>
    <row r="105" customFormat="false" ht="36" hidden="false" customHeight="true" outlineLevel="0" collapsed="false">
      <c r="A105" s="8" t="s">
        <v>682</v>
      </c>
      <c r="B105" s="8" t="s">
        <v>683</v>
      </c>
      <c r="C105" s="8" t="s">
        <v>684</v>
      </c>
      <c r="D105" s="8" t="s">
        <v>665</v>
      </c>
      <c r="E105" s="8" t="s">
        <v>666</v>
      </c>
      <c r="F105" s="8" t="s">
        <v>685</v>
      </c>
      <c r="G105" s="8" t="s">
        <v>686</v>
      </c>
      <c r="H105" s="8" t="s">
        <v>66</v>
      </c>
      <c r="I105" s="8" t="s">
        <v>687</v>
      </c>
      <c r="J105" s="8" t="s">
        <v>678</v>
      </c>
    </row>
    <row r="106" customFormat="false" ht="36" hidden="false" customHeight="true" outlineLevel="0" collapsed="false">
      <c r="A106" s="9" t="s">
        <v>688</v>
      </c>
      <c r="B106" s="9" t="s">
        <v>689</v>
      </c>
      <c r="C106" s="9" t="s">
        <v>690</v>
      </c>
      <c r="D106" s="9" t="s">
        <v>665</v>
      </c>
      <c r="E106" s="9" t="s">
        <v>666</v>
      </c>
      <c r="F106" s="9" t="s">
        <v>691</v>
      </c>
      <c r="G106" s="9" t="s">
        <v>692</v>
      </c>
      <c r="H106" s="9" t="s">
        <v>66</v>
      </c>
      <c r="I106" s="9" t="s">
        <v>693</v>
      </c>
      <c r="J106" s="9" t="s">
        <v>694</v>
      </c>
    </row>
    <row r="107" customFormat="false" ht="36" hidden="false" customHeight="true" outlineLevel="0" collapsed="false">
      <c r="A107" s="8" t="s">
        <v>695</v>
      </c>
      <c r="B107" s="8" t="s">
        <v>696</v>
      </c>
      <c r="C107" s="8" t="s">
        <v>92</v>
      </c>
      <c r="D107" s="8" t="s">
        <v>665</v>
      </c>
      <c r="E107" s="8" t="s">
        <v>666</v>
      </c>
      <c r="F107" s="8" t="s">
        <v>697</v>
      </c>
      <c r="G107" s="8" t="s">
        <v>698</v>
      </c>
      <c r="H107" s="8" t="s">
        <v>699</v>
      </c>
      <c r="I107" s="8" t="s">
        <v>700</v>
      </c>
      <c r="J107" s="8" t="s">
        <v>80</v>
      </c>
    </row>
    <row r="108" customFormat="false" ht="36" hidden="false" customHeight="true" outlineLevel="0" collapsed="false">
      <c r="A108" s="9" t="s">
        <v>701</v>
      </c>
      <c r="B108" s="9" t="s">
        <v>702</v>
      </c>
      <c r="C108" s="9" t="s">
        <v>105</v>
      </c>
      <c r="D108" s="9" t="s">
        <v>665</v>
      </c>
      <c r="E108" s="9" t="s">
        <v>666</v>
      </c>
      <c r="F108" s="9" t="s">
        <v>703</v>
      </c>
      <c r="G108" s="9" t="s">
        <v>704</v>
      </c>
      <c r="H108" s="9" t="s">
        <v>66</v>
      </c>
      <c r="I108" s="9" t="s">
        <v>705</v>
      </c>
      <c r="J108" s="9" t="s">
        <v>99</v>
      </c>
    </row>
    <row r="109" customFormat="false" ht="36" hidden="false" customHeight="true" outlineLevel="0" collapsed="false">
      <c r="A109" s="8" t="s">
        <v>706</v>
      </c>
      <c r="B109" s="8" t="s">
        <v>707</v>
      </c>
      <c r="C109" s="8"/>
      <c r="D109" s="8" t="s">
        <v>665</v>
      </c>
      <c r="E109" s="8" t="s">
        <v>708</v>
      </c>
      <c r="F109" s="8" t="s">
        <v>709</v>
      </c>
      <c r="G109" s="8" t="s">
        <v>710</v>
      </c>
      <c r="H109" s="8" t="s">
        <v>66</v>
      </c>
      <c r="I109" s="8" t="s">
        <v>711</v>
      </c>
      <c r="J109" s="8" t="s">
        <v>359</v>
      </c>
    </row>
    <row r="110" customFormat="false" ht="36" hidden="false" customHeight="true" outlineLevel="0" collapsed="false">
      <c r="A110" s="9" t="s">
        <v>712</v>
      </c>
      <c r="B110" s="9" t="s">
        <v>713</v>
      </c>
      <c r="C110" s="9"/>
      <c r="D110" s="9" t="s">
        <v>665</v>
      </c>
      <c r="E110" s="9" t="s">
        <v>708</v>
      </c>
      <c r="F110" s="9" t="s">
        <v>714</v>
      </c>
      <c r="G110" s="9" t="s">
        <v>715</v>
      </c>
      <c r="H110" s="9" t="s">
        <v>66</v>
      </c>
      <c r="I110" s="9" t="s">
        <v>716</v>
      </c>
      <c r="J110" s="9" t="s">
        <v>717</v>
      </c>
    </row>
    <row r="111" customFormat="false" ht="36" hidden="false" customHeight="true" outlineLevel="0" collapsed="false">
      <c r="A111" s="8" t="s">
        <v>718</v>
      </c>
      <c r="B111" s="8" t="s">
        <v>719</v>
      </c>
      <c r="C111" s="8" t="s">
        <v>720</v>
      </c>
      <c r="D111" s="8" t="s">
        <v>665</v>
      </c>
      <c r="E111" s="8" t="s">
        <v>708</v>
      </c>
      <c r="F111" s="8" t="s">
        <v>721</v>
      </c>
      <c r="G111" s="8" t="s">
        <v>722</v>
      </c>
      <c r="H111" s="8" t="s">
        <v>66</v>
      </c>
      <c r="I111" s="8" t="s">
        <v>143</v>
      </c>
      <c r="J111" s="8" t="s">
        <v>723</v>
      </c>
    </row>
    <row r="112" customFormat="false" ht="36" hidden="false" customHeight="true" outlineLevel="0" collapsed="false">
      <c r="A112" s="9" t="s">
        <v>724</v>
      </c>
      <c r="B112" s="9" t="s">
        <v>725</v>
      </c>
      <c r="C112" s="9"/>
      <c r="D112" s="9" t="s">
        <v>665</v>
      </c>
      <c r="E112" s="9" t="s">
        <v>708</v>
      </c>
      <c r="F112" s="9" t="s">
        <v>726</v>
      </c>
      <c r="G112" s="9" t="s">
        <v>727</v>
      </c>
      <c r="H112" s="9" t="s">
        <v>728</v>
      </c>
      <c r="I112" s="9" t="s">
        <v>729</v>
      </c>
      <c r="J112" s="9" t="s">
        <v>730</v>
      </c>
    </row>
    <row r="113" customFormat="false" ht="36" hidden="false" customHeight="true" outlineLevel="0" collapsed="false">
      <c r="A113" s="8" t="s">
        <v>731</v>
      </c>
      <c r="B113" s="8" t="s">
        <v>732</v>
      </c>
      <c r="C113" s="8" t="s">
        <v>733</v>
      </c>
      <c r="D113" s="8" t="s">
        <v>665</v>
      </c>
      <c r="E113" s="8" t="s">
        <v>734</v>
      </c>
      <c r="F113" s="8" t="s">
        <v>735</v>
      </c>
      <c r="G113" s="8" t="s">
        <v>736</v>
      </c>
      <c r="H113" s="8" t="s">
        <v>737</v>
      </c>
      <c r="I113" s="8" t="s">
        <v>738</v>
      </c>
      <c r="J113" s="8" t="s">
        <v>739</v>
      </c>
    </row>
    <row r="114" customFormat="false" ht="36" hidden="false" customHeight="true" outlineLevel="0" collapsed="false">
      <c r="A114" s="9" t="s">
        <v>740</v>
      </c>
      <c r="B114" s="9" t="s">
        <v>741</v>
      </c>
      <c r="C114" s="9" t="s">
        <v>739</v>
      </c>
      <c r="D114" s="9" t="s">
        <v>665</v>
      </c>
      <c r="E114" s="9" t="s">
        <v>734</v>
      </c>
      <c r="F114" s="9" t="s">
        <v>742</v>
      </c>
      <c r="G114" s="9" t="s">
        <v>743</v>
      </c>
      <c r="H114" s="9" t="s">
        <v>744</v>
      </c>
      <c r="I114" s="9" t="s">
        <v>745</v>
      </c>
      <c r="J114" s="9" t="s">
        <v>746</v>
      </c>
    </row>
    <row r="115" customFormat="false" ht="36" hidden="false" customHeight="true" outlineLevel="0" collapsed="false">
      <c r="A115" s="8" t="s">
        <v>747</v>
      </c>
      <c r="B115" s="8" t="s">
        <v>748</v>
      </c>
      <c r="C115" s="8" t="s">
        <v>734</v>
      </c>
      <c r="D115" s="8" t="s">
        <v>665</v>
      </c>
      <c r="E115" s="8" t="s">
        <v>734</v>
      </c>
      <c r="F115" s="8" t="s">
        <v>749</v>
      </c>
      <c r="G115" s="8" t="s">
        <v>750</v>
      </c>
      <c r="H115" s="8" t="s">
        <v>75</v>
      </c>
      <c r="I115" s="8" t="s">
        <v>751</v>
      </c>
      <c r="J115" s="8" t="s">
        <v>536</v>
      </c>
    </row>
    <row r="116" customFormat="false" ht="36" hidden="false" customHeight="true" outlineLevel="0" collapsed="false">
      <c r="A116" s="9" t="s">
        <v>752</v>
      </c>
      <c r="B116" s="9" t="s">
        <v>753</v>
      </c>
      <c r="C116" s="9" t="s">
        <v>536</v>
      </c>
      <c r="D116" s="9" t="s">
        <v>665</v>
      </c>
      <c r="E116" s="9" t="s">
        <v>525</v>
      </c>
      <c r="F116" s="9" t="s">
        <v>754</v>
      </c>
      <c r="G116" s="9" t="s">
        <v>755</v>
      </c>
      <c r="H116" s="9" t="s">
        <v>534</v>
      </c>
      <c r="I116" s="9" t="s">
        <v>756</v>
      </c>
      <c r="J116" s="9" t="s">
        <v>757</v>
      </c>
    </row>
    <row r="117" customFormat="false" ht="36" hidden="false" customHeight="true" outlineLevel="0" collapsed="false">
      <c r="A117" s="8" t="s">
        <v>758</v>
      </c>
      <c r="B117" s="8" t="s">
        <v>759</v>
      </c>
      <c r="C117" s="8"/>
      <c r="D117" s="8" t="s">
        <v>665</v>
      </c>
      <c r="E117" s="8" t="s">
        <v>734</v>
      </c>
      <c r="F117" s="8" t="s">
        <v>760</v>
      </c>
      <c r="G117" s="8" t="s">
        <v>761</v>
      </c>
      <c r="H117" s="8" t="s">
        <v>762</v>
      </c>
      <c r="I117" s="8" t="s">
        <v>763</v>
      </c>
      <c r="J117" s="8" t="s">
        <v>764</v>
      </c>
    </row>
    <row r="118" customFormat="false" ht="36" hidden="false" customHeight="true" outlineLevel="0" collapsed="false">
      <c r="A118" s="9" t="s">
        <v>765</v>
      </c>
      <c r="B118" s="9" t="s">
        <v>766</v>
      </c>
      <c r="C118" s="9" t="s">
        <v>764</v>
      </c>
      <c r="D118" s="9" t="s">
        <v>665</v>
      </c>
      <c r="E118" s="9" t="s">
        <v>767</v>
      </c>
      <c r="F118" s="9" t="s">
        <v>768</v>
      </c>
      <c r="G118" s="9" t="s">
        <v>769</v>
      </c>
      <c r="H118" s="9" t="s">
        <v>770</v>
      </c>
      <c r="I118" s="9" t="s">
        <v>771</v>
      </c>
      <c r="J118" s="9" t="s">
        <v>772</v>
      </c>
    </row>
    <row r="119" customFormat="false" ht="36" hidden="false" customHeight="true" outlineLevel="0" collapsed="false">
      <c r="A119" s="8" t="s">
        <v>773</v>
      </c>
      <c r="B119" s="8" t="s">
        <v>774</v>
      </c>
      <c r="C119" s="8" t="s">
        <v>775</v>
      </c>
      <c r="D119" s="8" t="s">
        <v>665</v>
      </c>
      <c r="E119" s="8" t="s">
        <v>767</v>
      </c>
      <c r="F119" s="8" t="s">
        <v>776</v>
      </c>
      <c r="G119" s="8" t="s">
        <v>777</v>
      </c>
      <c r="H119" s="8" t="s">
        <v>589</v>
      </c>
      <c r="I119" s="8" t="s">
        <v>778</v>
      </c>
      <c r="J119" s="8" t="s">
        <v>772</v>
      </c>
    </row>
    <row r="120" customFormat="false" ht="36" hidden="false" customHeight="true" outlineLevel="0" collapsed="false">
      <c r="A120" s="9" t="s">
        <v>779</v>
      </c>
      <c r="B120" s="9" t="s">
        <v>780</v>
      </c>
      <c r="C120" s="9" t="s">
        <v>781</v>
      </c>
      <c r="D120" s="9" t="s">
        <v>665</v>
      </c>
      <c r="E120" s="9" t="s">
        <v>767</v>
      </c>
      <c r="F120" s="9" t="s">
        <v>782</v>
      </c>
      <c r="G120" s="9" t="s">
        <v>783</v>
      </c>
      <c r="H120" s="9" t="s">
        <v>589</v>
      </c>
      <c r="I120" s="9" t="s">
        <v>784</v>
      </c>
      <c r="J120" s="9" t="s">
        <v>772</v>
      </c>
    </row>
    <row r="121" customFormat="false" ht="36" hidden="false" customHeight="true" outlineLevel="0" collapsed="false">
      <c r="A121" s="8" t="s">
        <v>785</v>
      </c>
      <c r="B121" s="8" t="s">
        <v>786</v>
      </c>
      <c r="C121" s="8" t="s">
        <v>787</v>
      </c>
      <c r="D121" s="8" t="s">
        <v>665</v>
      </c>
      <c r="E121" s="8" t="s">
        <v>767</v>
      </c>
      <c r="F121" s="8" t="s">
        <v>788</v>
      </c>
      <c r="G121" s="8" t="s">
        <v>789</v>
      </c>
      <c r="H121" s="8" t="s">
        <v>739</v>
      </c>
      <c r="I121" s="8" t="s">
        <v>790</v>
      </c>
      <c r="J121" s="8" t="s">
        <v>791</v>
      </c>
    </row>
    <row r="122" customFormat="false" ht="36" hidden="false" customHeight="true" outlineLevel="0" collapsed="false">
      <c r="A122" s="9" t="s">
        <v>792</v>
      </c>
      <c r="B122" s="9" t="s">
        <v>793</v>
      </c>
      <c r="C122" s="9" t="s">
        <v>794</v>
      </c>
      <c r="D122" s="9" t="s">
        <v>665</v>
      </c>
      <c r="E122" s="9" t="s">
        <v>767</v>
      </c>
      <c r="F122" s="9" t="s">
        <v>795</v>
      </c>
      <c r="G122" s="9" t="s">
        <v>796</v>
      </c>
      <c r="H122" s="9" t="s">
        <v>739</v>
      </c>
      <c r="I122" s="9" t="s">
        <v>797</v>
      </c>
      <c r="J122" s="9" t="s">
        <v>733</v>
      </c>
    </row>
    <row r="123" customFormat="false" ht="36" hidden="false" customHeight="true" outlineLevel="0" collapsed="false">
      <c r="A123" s="8" t="s">
        <v>798</v>
      </c>
      <c r="B123" s="8" t="s">
        <v>799</v>
      </c>
      <c r="C123" s="8" t="s">
        <v>791</v>
      </c>
      <c r="D123" s="8" t="s">
        <v>665</v>
      </c>
      <c r="E123" s="8" t="s">
        <v>734</v>
      </c>
      <c r="F123" s="8" t="s">
        <v>800</v>
      </c>
      <c r="G123" s="8" t="s">
        <v>801</v>
      </c>
      <c r="H123" s="8" t="s">
        <v>802</v>
      </c>
      <c r="I123" s="8" t="s">
        <v>803</v>
      </c>
      <c r="J123" s="8" t="s">
        <v>804</v>
      </c>
    </row>
    <row r="124" customFormat="false" ht="36" hidden="false" customHeight="true" outlineLevel="0" collapsed="false">
      <c r="A124" s="9" t="s">
        <v>805</v>
      </c>
      <c r="B124" s="9" t="s">
        <v>806</v>
      </c>
      <c r="C124" s="9" t="s">
        <v>804</v>
      </c>
      <c r="D124" s="9" t="s">
        <v>665</v>
      </c>
      <c r="E124" s="9" t="s">
        <v>734</v>
      </c>
      <c r="F124" s="9" t="s">
        <v>807</v>
      </c>
      <c r="G124" s="9" t="s">
        <v>808</v>
      </c>
      <c r="H124" s="9" t="s">
        <v>802</v>
      </c>
      <c r="I124" s="9" t="s">
        <v>809</v>
      </c>
      <c r="J124" s="9" t="s">
        <v>791</v>
      </c>
    </row>
    <row r="125" customFormat="false" ht="36" hidden="false" customHeight="true" outlineLevel="0" collapsed="false">
      <c r="A125" s="8" t="s">
        <v>810</v>
      </c>
      <c r="B125" s="8" t="s">
        <v>811</v>
      </c>
      <c r="C125" s="8"/>
      <c r="D125" s="8" t="s">
        <v>665</v>
      </c>
      <c r="E125" s="8" t="s">
        <v>812</v>
      </c>
      <c r="F125" s="8" t="s">
        <v>813</v>
      </c>
      <c r="G125" s="8" t="s">
        <v>814</v>
      </c>
      <c r="H125" s="8" t="s">
        <v>815</v>
      </c>
      <c r="I125" s="8" t="s">
        <v>816</v>
      </c>
      <c r="J125" s="8" t="s">
        <v>817</v>
      </c>
    </row>
    <row r="126" customFormat="false" ht="36" hidden="false" customHeight="true" outlineLevel="0" collapsed="false">
      <c r="A126" s="9" t="s">
        <v>818</v>
      </c>
      <c r="B126" s="9" t="s">
        <v>819</v>
      </c>
      <c r="C126" s="9" t="s">
        <v>820</v>
      </c>
      <c r="D126" s="9" t="s">
        <v>665</v>
      </c>
      <c r="E126" s="9" t="s">
        <v>812</v>
      </c>
      <c r="F126" s="9" t="s">
        <v>821</v>
      </c>
      <c r="G126" s="9" t="s">
        <v>822</v>
      </c>
      <c r="H126" s="9" t="s">
        <v>66</v>
      </c>
      <c r="I126" s="9" t="s">
        <v>823</v>
      </c>
      <c r="J126" s="9" t="s">
        <v>348</v>
      </c>
    </row>
    <row r="127" customFormat="false" ht="36" hidden="false" customHeight="true" outlineLevel="0" collapsed="false">
      <c r="A127" s="8" t="s">
        <v>824</v>
      </c>
      <c r="B127" s="8" t="s">
        <v>825</v>
      </c>
      <c r="C127" s="8" t="s">
        <v>826</v>
      </c>
      <c r="D127" s="8" t="s">
        <v>665</v>
      </c>
      <c r="E127" s="8" t="s">
        <v>812</v>
      </c>
      <c r="F127" s="8" t="s">
        <v>827</v>
      </c>
      <c r="G127" s="8" t="s">
        <v>828</v>
      </c>
      <c r="H127" s="8" t="s">
        <v>66</v>
      </c>
      <c r="I127" s="8" t="s">
        <v>829</v>
      </c>
      <c r="J127" s="8" t="s">
        <v>95</v>
      </c>
    </row>
    <row r="128" customFormat="false" ht="36" hidden="false" customHeight="true" outlineLevel="0" collapsed="false">
      <c r="A128" s="9" t="s">
        <v>830</v>
      </c>
      <c r="B128" s="9" t="s">
        <v>831</v>
      </c>
      <c r="C128" s="9" t="s">
        <v>764</v>
      </c>
      <c r="D128" s="9" t="s">
        <v>665</v>
      </c>
      <c r="E128" s="9" t="s">
        <v>812</v>
      </c>
      <c r="F128" s="9" t="s">
        <v>832</v>
      </c>
      <c r="G128" s="9" t="s">
        <v>833</v>
      </c>
      <c r="H128" s="9" t="s">
        <v>66</v>
      </c>
      <c r="I128" s="9" t="s">
        <v>834</v>
      </c>
      <c r="J128" s="9" t="s">
        <v>80</v>
      </c>
    </row>
    <row r="129" customFormat="false" ht="36" hidden="false" customHeight="true" outlineLevel="0" collapsed="false">
      <c r="A129" s="8" t="s">
        <v>835</v>
      </c>
      <c r="B129" s="8" t="s">
        <v>836</v>
      </c>
      <c r="C129" s="8" t="s">
        <v>837</v>
      </c>
      <c r="D129" s="8" t="s">
        <v>665</v>
      </c>
      <c r="E129" s="8" t="s">
        <v>812</v>
      </c>
      <c r="F129" s="8" t="s">
        <v>838</v>
      </c>
      <c r="G129" s="8" t="s">
        <v>839</v>
      </c>
      <c r="H129" s="8" t="s">
        <v>66</v>
      </c>
      <c r="I129" s="8" t="s">
        <v>840</v>
      </c>
      <c r="J129" s="8" t="s">
        <v>121</v>
      </c>
    </row>
    <row r="130" customFormat="false" ht="36" hidden="false" customHeight="true" outlineLevel="0" collapsed="false">
      <c r="A130" s="9" t="s">
        <v>841</v>
      </c>
      <c r="B130" s="9" t="s">
        <v>842</v>
      </c>
      <c r="C130" s="9" t="s">
        <v>843</v>
      </c>
      <c r="D130" s="9" t="s">
        <v>665</v>
      </c>
      <c r="E130" s="9" t="s">
        <v>812</v>
      </c>
      <c r="F130" s="9" t="s">
        <v>844</v>
      </c>
      <c r="G130" s="9" t="s">
        <v>845</v>
      </c>
      <c r="H130" s="9" t="s">
        <v>66</v>
      </c>
      <c r="I130" s="9" t="s">
        <v>846</v>
      </c>
      <c r="J130" s="9" t="s">
        <v>147</v>
      </c>
    </row>
    <row r="131" customFormat="false" ht="36" hidden="false" customHeight="true" outlineLevel="0" collapsed="false">
      <c r="A131" s="8" t="s">
        <v>847</v>
      </c>
      <c r="B131" s="8" t="s">
        <v>848</v>
      </c>
      <c r="C131" s="8" t="s">
        <v>849</v>
      </c>
      <c r="D131" s="8" t="s">
        <v>665</v>
      </c>
      <c r="E131" s="8" t="s">
        <v>72</v>
      </c>
      <c r="F131" s="8" t="s">
        <v>850</v>
      </c>
      <c r="G131" s="8" t="s">
        <v>851</v>
      </c>
      <c r="H131" s="8" t="s">
        <v>852</v>
      </c>
      <c r="I131" s="8" t="s">
        <v>853</v>
      </c>
      <c r="J131" s="8" t="s">
        <v>730</v>
      </c>
    </row>
    <row r="132" customFormat="false" ht="36" hidden="false" customHeight="true" outlineLevel="0" collapsed="false">
      <c r="A132" s="9" t="s">
        <v>854</v>
      </c>
      <c r="B132" s="9" t="s">
        <v>855</v>
      </c>
      <c r="C132" s="9" t="s">
        <v>730</v>
      </c>
      <c r="D132" s="9" t="s">
        <v>665</v>
      </c>
      <c r="E132" s="9" t="s">
        <v>730</v>
      </c>
      <c r="F132" s="9" t="s">
        <v>856</v>
      </c>
      <c r="G132" s="9" t="s">
        <v>857</v>
      </c>
      <c r="H132" s="9" t="s">
        <v>728</v>
      </c>
      <c r="I132" s="9" t="s">
        <v>858</v>
      </c>
      <c r="J132" s="9" t="s">
        <v>859</v>
      </c>
    </row>
    <row r="133" customFormat="false" ht="36" hidden="false" customHeight="true" outlineLevel="0" collapsed="false">
      <c r="A133" s="8" t="s">
        <v>860</v>
      </c>
      <c r="B133" s="8" t="s">
        <v>861</v>
      </c>
      <c r="C133" s="8" t="s">
        <v>359</v>
      </c>
      <c r="D133" s="8" t="s">
        <v>665</v>
      </c>
      <c r="E133" s="8" t="s">
        <v>730</v>
      </c>
      <c r="F133" s="8" t="s">
        <v>862</v>
      </c>
      <c r="G133" s="8" t="s">
        <v>863</v>
      </c>
      <c r="H133" s="8" t="s">
        <v>728</v>
      </c>
      <c r="I133" s="8" t="s">
        <v>864</v>
      </c>
      <c r="J133" s="8" t="s">
        <v>730</v>
      </c>
    </row>
    <row r="134" customFormat="false" ht="36" hidden="false" customHeight="true" outlineLevel="0" collapsed="false">
      <c r="A134" s="9" t="s">
        <v>865</v>
      </c>
      <c r="B134" s="9" t="s">
        <v>866</v>
      </c>
      <c r="C134" s="9" t="s">
        <v>867</v>
      </c>
      <c r="D134" s="9" t="s">
        <v>665</v>
      </c>
      <c r="E134" s="9" t="s">
        <v>730</v>
      </c>
      <c r="F134" s="9" t="s">
        <v>868</v>
      </c>
      <c r="G134" s="9" t="s">
        <v>869</v>
      </c>
      <c r="H134" s="9" t="s">
        <v>728</v>
      </c>
      <c r="I134" s="9" t="s">
        <v>870</v>
      </c>
      <c r="J134" s="9" t="s">
        <v>871</v>
      </c>
    </row>
    <row r="135" customFormat="false" ht="36" hidden="false" customHeight="true" outlineLevel="0" collapsed="false">
      <c r="A135" s="8" t="s">
        <v>872</v>
      </c>
      <c r="B135" s="8" t="s">
        <v>873</v>
      </c>
      <c r="C135" s="8" t="s">
        <v>873</v>
      </c>
      <c r="D135" s="8" t="s">
        <v>665</v>
      </c>
      <c r="E135" s="8" t="s">
        <v>730</v>
      </c>
      <c r="F135" s="8" t="s">
        <v>874</v>
      </c>
      <c r="G135" s="8" t="s">
        <v>875</v>
      </c>
      <c r="H135" s="8" t="s">
        <v>876</v>
      </c>
      <c r="I135" s="8" t="s">
        <v>877</v>
      </c>
      <c r="J135" s="8" t="s">
        <v>878</v>
      </c>
    </row>
    <row r="136" customFormat="false" ht="36" hidden="false" customHeight="true" outlineLevel="0" collapsed="false">
      <c r="A136" s="9" t="s">
        <v>879</v>
      </c>
      <c r="B136" s="9" t="s">
        <v>880</v>
      </c>
      <c r="C136" s="9" t="s">
        <v>881</v>
      </c>
      <c r="D136" s="9" t="s">
        <v>665</v>
      </c>
      <c r="E136" s="9" t="s">
        <v>730</v>
      </c>
      <c r="F136" s="9" t="s">
        <v>882</v>
      </c>
      <c r="G136" s="9" t="s">
        <v>883</v>
      </c>
      <c r="H136" s="9" t="s">
        <v>884</v>
      </c>
      <c r="I136" s="9" t="s">
        <v>885</v>
      </c>
      <c r="J136" s="9" t="s">
        <v>886</v>
      </c>
    </row>
    <row r="137" customFormat="false" ht="36" hidden="false" customHeight="true" outlineLevel="0" collapsed="false">
      <c r="A137" s="8" t="s">
        <v>887</v>
      </c>
      <c r="B137" s="8" t="s">
        <v>888</v>
      </c>
      <c r="C137" s="8"/>
      <c r="D137" s="8" t="s">
        <v>665</v>
      </c>
      <c r="E137" s="8" t="s">
        <v>328</v>
      </c>
      <c r="F137" s="8" t="s">
        <v>889</v>
      </c>
      <c r="G137" s="8" t="s">
        <v>890</v>
      </c>
      <c r="H137" s="8" t="s">
        <v>84</v>
      </c>
      <c r="I137" s="8" t="s">
        <v>891</v>
      </c>
      <c r="J137" s="8" t="s">
        <v>730</v>
      </c>
    </row>
    <row r="138" customFormat="false" ht="36" hidden="false" customHeight="true" outlineLevel="0" collapsed="false">
      <c r="A138" s="9" t="s">
        <v>892</v>
      </c>
      <c r="B138" s="9" t="s">
        <v>893</v>
      </c>
      <c r="C138" s="9" t="s">
        <v>894</v>
      </c>
      <c r="D138" s="9" t="s">
        <v>665</v>
      </c>
      <c r="E138" s="9" t="s">
        <v>348</v>
      </c>
      <c r="F138" s="9" t="s">
        <v>895</v>
      </c>
      <c r="G138" s="9" t="s">
        <v>896</v>
      </c>
      <c r="H138" s="9" t="s">
        <v>897</v>
      </c>
      <c r="I138" s="9" t="s">
        <v>898</v>
      </c>
      <c r="J138" s="9" t="s">
        <v>348</v>
      </c>
    </row>
    <row r="139" customFormat="false" ht="36" hidden="false" customHeight="true" outlineLevel="0" collapsed="false">
      <c r="A139" s="8" t="s">
        <v>899</v>
      </c>
      <c r="B139" s="8" t="s">
        <v>900</v>
      </c>
      <c r="C139" s="8"/>
      <c r="D139" s="8" t="s">
        <v>665</v>
      </c>
      <c r="E139" s="8" t="s">
        <v>580</v>
      </c>
      <c r="F139" s="8" t="s">
        <v>901</v>
      </c>
      <c r="G139" s="8" t="s">
        <v>902</v>
      </c>
      <c r="H139" s="8" t="s">
        <v>589</v>
      </c>
      <c r="I139" s="8" t="s">
        <v>903</v>
      </c>
      <c r="J139" s="8" t="s">
        <v>894</v>
      </c>
    </row>
    <row r="140" customFormat="false" ht="36" hidden="false" customHeight="true" outlineLevel="0" collapsed="false">
      <c r="A140" s="9" t="s">
        <v>904</v>
      </c>
      <c r="B140" s="9" t="s">
        <v>905</v>
      </c>
      <c r="C140" s="9" t="s">
        <v>906</v>
      </c>
      <c r="D140" s="9" t="s">
        <v>906</v>
      </c>
      <c r="E140" s="9" t="s">
        <v>47</v>
      </c>
      <c r="F140" s="9" t="s">
        <v>907</v>
      </c>
      <c r="G140" s="9" t="s">
        <v>908</v>
      </c>
      <c r="H140" s="9" t="s">
        <v>909</v>
      </c>
      <c r="I140" s="9" t="s">
        <v>910</v>
      </c>
      <c r="J140" s="9" t="s">
        <v>911</v>
      </c>
    </row>
    <row r="141" customFormat="false" ht="36" hidden="false" customHeight="true" outlineLevel="0" collapsed="false">
      <c r="A141" s="8" t="s">
        <v>912</v>
      </c>
      <c r="B141" s="8" t="s">
        <v>913</v>
      </c>
      <c r="C141" s="8" t="s">
        <v>911</v>
      </c>
      <c r="D141" s="8" t="s">
        <v>906</v>
      </c>
      <c r="E141" s="8" t="s">
        <v>72</v>
      </c>
      <c r="F141" s="8" t="s">
        <v>914</v>
      </c>
      <c r="G141" s="8" t="s">
        <v>915</v>
      </c>
      <c r="H141" s="8" t="s">
        <v>916</v>
      </c>
      <c r="I141" s="8" t="s">
        <v>917</v>
      </c>
      <c r="J141" s="8" t="s">
        <v>918</v>
      </c>
    </row>
    <row r="142" customFormat="false" ht="36" hidden="false" customHeight="true" outlineLevel="0" collapsed="false">
      <c r="A142" s="9" t="s">
        <v>919</v>
      </c>
      <c r="B142" s="9" t="s">
        <v>920</v>
      </c>
      <c r="C142" s="9" t="s">
        <v>921</v>
      </c>
      <c r="D142" s="9" t="s">
        <v>906</v>
      </c>
      <c r="E142" s="9" t="s">
        <v>922</v>
      </c>
      <c r="F142" s="9" t="s">
        <v>923</v>
      </c>
      <c r="G142" s="9" t="s">
        <v>924</v>
      </c>
      <c r="H142" s="9" t="s">
        <v>909</v>
      </c>
      <c r="I142" s="9" t="s">
        <v>925</v>
      </c>
      <c r="J142" s="9" t="s">
        <v>926</v>
      </c>
    </row>
    <row r="143" customFormat="false" ht="36" hidden="false" customHeight="true" outlineLevel="0" collapsed="false">
      <c r="A143" s="8" t="s">
        <v>927</v>
      </c>
      <c r="B143" s="8" t="s">
        <v>926</v>
      </c>
      <c r="C143" s="8" t="s">
        <v>926</v>
      </c>
      <c r="D143" s="8" t="s">
        <v>906</v>
      </c>
      <c r="E143" s="8" t="s">
        <v>922</v>
      </c>
      <c r="F143" s="8" t="s">
        <v>928</v>
      </c>
      <c r="G143" s="8" t="s">
        <v>929</v>
      </c>
      <c r="H143" s="8" t="s">
        <v>930</v>
      </c>
      <c r="I143" s="8" t="s">
        <v>931</v>
      </c>
      <c r="J143" s="8" t="s">
        <v>932</v>
      </c>
    </row>
    <row r="144" customFormat="false" ht="36" hidden="false" customHeight="true" outlineLevel="0" collapsed="false">
      <c r="A144" s="9" t="s">
        <v>933</v>
      </c>
      <c r="B144" s="9" t="s">
        <v>934</v>
      </c>
      <c r="C144" s="9" t="s">
        <v>935</v>
      </c>
      <c r="D144" s="9" t="s">
        <v>906</v>
      </c>
      <c r="E144" s="9" t="s">
        <v>922</v>
      </c>
      <c r="F144" s="9" t="s">
        <v>936</v>
      </c>
      <c r="G144" s="9" t="s">
        <v>937</v>
      </c>
      <c r="H144" s="9" t="s">
        <v>909</v>
      </c>
      <c r="I144" s="9" t="s">
        <v>938</v>
      </c>
      <c r="J144" s="9" t="s">
        <v>939</v>
      </c>
    </row>
    <row r="145" customFormat="false" ht="36" hidden="false" customHeight="true" outlineLevel="0" collapsed="false">
      <c r="A145" s="8" t="s">
        <v>940</v>
      </c>
      <c r="B145" s="8" t="s">
        <v>941</v>
      </c>
      <c r="C145" s="8" t="s">
        <v>942</v>
      </c>
      <c r="D145" s="8" t="s">
        <v>906</v>
      </c>
      <c r="E145" s="8" t="s">
        <v>922</v>
      </c>
      <c r="F145" s="8" t="s">
        <v>943</v>
      </c>
      <c r="G145" s="8" t="s">
        <v>944</v>
      </c>
      <c r="H145" s="8" t="s">
        <v>909</v>
      </c>
      <c r="I145" s="8" t="s">
        <v>945</v>
      </c>
      <c r="J145" s="8" t="s">
        <v>772</v>
      </c>
    </row>
    <row r="146" customFormat="false" ht="36" hidden="false" customHeight="true" outlineLevel="0" collapsed="false">
      <c r="A146" s="9" t="s">
        <v>946</v>
      </c>
      <c r="B146" s="9" t="s">
        <v>947</v>
      </c>
      <c r="C146" s="9" t="s">
        <v>948</v>
      </c>
      <c r="D146" s="9" t="s">
        <v>906</v>
      </c>
      <c r="E146" s="9" t="s">
        <v>922</v>
      </c>
      <c r="F146" s="9" t="s">
        <v>949</v>
      </c>
      <c r="G146" s="9" t="s">
        <v>950</v>
      </c>
      <c r="H146" s="9" t="s">
        <v>909</v>
      </c>
      <c r="I146" s="9" t="s">
        <v>951</v>
      </c>
      <c r="J146" s="9" t="s">
        <v>921</v>
      </c>
    </row>
    <row r="147" customFormat="false" ht="36" hidden="false" customHeight="true" outlineLevel="0" collapsed="false">
      <c r="A147" s="8" t="s">
        <v>952</v>
      </c>
      <c r="B147" s="8" t="s">
        <v>772</v>
      </c>
      <c r="C147" s="8" t="s">
        <v>772</v>
      </c>
      <c r="D147" s="8" t="s">
        <v>906</v>
      </c>
      <c r="E147" s="8" t="s">
        <v>922</v>
      </c>
      <c r="F147" s="8" t="s">
        <v>953</v>
      </c>
      <c r="G147" s="8" t="s">
        <v>954</v>
      </c>
      <c r="H147" s="8" t="s">
        <v>909</v>
      </c>
      <c r="I147" s="8" t="s">
        <v>955</v>
      </c>
      <c r="J147" s="8" t="s">
        <v>956</v>
      </c>
    </row>
    <row r="148" customFormat="false" ht="36" hidden="false" customHeight="true" outlineLevel="0" collapsed="false">
      <c r="A148" s="9" t="s">
        <v>957</v>
      </c>
      <c r="B148" s="9" t="s">
        <v>958</v>
      </c>
      <c r="C148" s="9" t="s">
        <v>958</v>
      </c>
      <c r="D148" s="9" t="s">
        <v>906</v>
      </c>
      <c r="E148" s="9" t="s">
        <v>922</v>
      </c>
      <c r="F148" s="9" t="s">
        <v>959</v>
      </c>
      <c r="G148" s="9" t="s">
        <v>960</v>
      </c>
      <c r="H148" s="9" t="s">
        <v>961</v>
      </c>
      <c r="I148" s="9" t="s">
        <v>962</v>
      </c>
      <c r="J148" s="9" t="s">
        <v>963</v>
      </c>
    </row>
    <row r="149" customFormat="false" ht="36" hidden="false" customHeight="true" outlineLevel="0" collapsed="false">
      <c r="A149" s="8" t="s">
        <v>964</v>
      </c>
      <c r="B149" s="8" t="s">
        <v>965</v>
      </c>
      <c r="C149" s="8" t="s">
        <v>965</v>
      </c>
      <c r="D149" s="8" t="s">
        <v>906</v>
      </c>
      <c r="E149" s="8" t="s">
        <v>922</v>
      </c>
      <c r="F149" s="8" t="s">
        <v>966</v>
      </c>
      <c r="G149" s="8" t="s">
        <v>967</v>
      </c>
      <c r="H149" s="8" t="s">
        <v>909</v>
      </c>
      <c r="I149" s="8" t="s">
        <v>968</v>
      </c>
      <c r="J149" s="8" t="s">
        <v>969</v>
      </c>
    </row>
    <row r="150" customFormat="false" ht="36" hidden="false" customHeight="true" outlineLevel="0" collapsed="false">
      <c r="A150" s="9" t="s">
        <v>970</v>
      </c>
      <c r="B150" s="9" t="s">
        <v>939</v>
      </c>
      <c r="C150" s="9" t="s">
        <v>939</v>
      </c>
      <c r="D150" s="9" t="s">
        <v>906</v>
      </c>
      <c r="E150" s="9" t="s">
        <v>971</v>
      </c>
      <c r="F150" s="9" t="s">
        <v>972</v>
      </c>
      <c r="G150" s="9" t="s">
        <v>973</v>
      </c>
      <c r="H150" s="9" t="s">
        <v>909</v>
      </c>
      <c r="I150" s="9" t="s">
        <v>974</v>
      </c>
      <c r="J150" s="9" t="s">
        <v>975</v>
      </c>
    </row>
    <row r="151" customFormat="false" ht="36" hidden="false" customHeight="true" outlineLevel="0" collapsed="false">
      <c r="A151" s="8" t="s">
        <v>976</v>
      </c>
      <c r="B151" s="8" t="s">
        <v>977</v>
      </c>
      <c r="C151" s="8" t="s">
        <v>978</v>
      </c>
      <c r="D151" s="8" t="s">
        <v>906</v>
      </c>
      <c r="E151" s="8" t="s">
        <v>922</v>
      </c>
      <c r="F151" s="8" t="s">
        <v>979</v>
      </c>
      <c r="G151" s="8" t="s">
        <v>980</v>
      </c>
      <c r="H151" s="8" t="s">
        <v>909</v>
      </c>
      <c r="I151" s="8" t="s">
        <v>981</v>
      </c>
      <c r="J151" s="8" t="s">
        <v>772</v>
      </c>
    </row>
    <row r="152" customFormat="false" ht="36" hidden="false" customHeight="true" outlineLevel="0" collapsed="false">
      <c r="A152" s="9" t="s">
        <v>982</v>
      </c>
      <c r="B152" s="9" t="s">
        <v>983</v>
      </c>
      <c r="C152" s="9" t="s">
        <v>932</v>
      </c>
      <c r="D152" s="9" t="s">
        <v>906</v>
      </c>
      <c r="E152" s="9" t="s">
        <v>984</v>
      </c>
      <c r="F152" s="9" t="s">
        <v>985</v>
      </c>
      <c r="G152" s="9" t="s">
        <v>986</v>
      </c>
      <c r="H152" s="9" t="s">
        <v>987</v>
      </c>
      <c r="I152" s="9" t="s">
        <v>988</v>
      </c>
      <c r="J152" s="9" t="s">
        <v>918</v>
      </c>
    </row>
    <row r="153" customFormat="false" ht="36" hidden="false" customHeight="true" outlineLevel="0" collapsed="false">
      <c r="A153" s="8" t="s">
        <v>989</v>
      </c>
      <c r="B153" s="8" t="s">
        <v>990</v>
      </c>
      <c r="C153" s="8" t="s">
        <v>918</v>
      </c>
      <c r="D153" s="8" t="s">
        <v>906</v>
      </c>
      <c r="E153" s="8" t="s">
        <v>984</v>
      </c>
      <c r="F153" s="8" t="s">
        <v>991</v>
      </c>
      <c r="G153" s="8" t="s">
        <v>992</v>
      </c>
      <c r="H153" s="8" t="s">
        <v>993</v>
      </c>
      <c r="I153" s="8" t="s">
        <v>994</v>
      </c>
      <c r="J153" s="8" t="s">
        <v>911</v>
      </c>
    </row>
    <row r="154" customFormat="false" ht="36" hidden="false" customHeight="true" outlineLevel="0" collapsed="false">
      <c r="A154" s="9" t="s">
        <v>995</v>
      </c>
      <c r="B154" s="9" t="s">
        <v>996</v>
      </c>
      <c r="C154" s="9"/>
      <c r="D154" s="9" t="s">
        <v>906</v>
      </c>
      <c r="E154" s="9" t="s">
        <v>984</v>
      </c>
      <c r="F154" s="9" t="s">
        <v>997</v>
      </c>
      <c r="G154" s="9" t="s">
        <v>998</v>
      </c>
      <c r="H154" s="9" t="s">
        <v>999</v>
      </c>
      <c r="I154" s="9" t="s">
        <v>1000</v>
      </c>
      <c r="J154" s="9" t="s">
        <v>932</v>
      </c>
    </row>
    <row r="155" customFormat="false" ht="36" hidden="false" customHeight="true" outlineLevel="0" collapsed="false">
      <c r="A155" s="8" t="s">
        <v>1001</v>
      </c>
      <c r="B155" s="8" t="s">
        <v>1002</v>
      </c>
      <c r="C155" s="8" t="s">
        <v>1003</v>
      </c>
      <c r="D155" s="8" t="s">
        <v>906</v>
      </c>
      <c r="E155" s="8" t="s">
        <v>922</v>
      </c>
      <c r="F155" s="8" t="s">
        <v>1004</v>
      </c>
      <c r="G155" s="8" t="s">
        <v>1005</v>
      </c>
      <c r="H155" s="8" t="s">
        <v>909</v>
      </c>
      <c r="I155" s="8" t="s">
        <v>1006</v>
      </c>
      <c r="J155" s="8" t="s">
        <v>921</v>
      </c>
    </row>
    <row r="156" customFormat="false" ht="36" hidden="false" customHeight="true" outlineLevel="0" collapsed="false">
      <c r="A156" s="9" t="s">
        <v>1007</v>
      </c>
      <c r="B156" s="9" t="s">
        <v>1008</v>
      </c>
      <c r="C156" s="9" t="s">
        <v>320</v>
      </c>
      <c r="D156" s="9" t="s">
        <v>906</v>
      </c>
      <c r="E156" s="9" t="s">
        <v>320</v>
      </c>
      <c r="F156" s="9" t="s">
        <v>1009</v>
      </c>
      <c r="G156" s="9" t="s">
        <v>1010</v>
      </c>
      <c r="H156" s="9" t="s">
        <v>542</v>
      </c>
      <c r="I156" s="9" t="s">
        <v>1011</v>
      </c>
      <c r="J156" s="9" t="s">
        <v>1012</v>
      </c>
    </row>
    <row r="157" customFormat="false" ht="36" hidden="false" customHeight="true" outlineLevel="0" collapsed="false">
      <c r="A157" s="8" t="s">
        <v>1013</v>
      </c>
      <c r="B157" s="8" t="s">
        <v>1014</v>
      </c>
      <c r="C157" s="8" t="s">
        <v>1012</v>
      </c>
      <c r="D157" s="8" t="s">
        <v>906</v>
      </c>
      <c r="E157" s="8" t="s">
        <v>320</v>
      </c>
      <c r="F157" s="8" t="s">
        <v>1015</v>
      </c>
      <c r="G157" s="8" t="s">
        <v>1016</v>
      </c>
      <c r="H157" s="8" t="s">
        <v>84</v>
      </c>
      <c r="I157" s="8" t="s">
        <v>1017</v>
      </c>
      <c r="J157" s="8" t="s">
        <v>320</v>
      </c>
    </row>
    <row r="158" customFormat="false" ht="36" hidden="false" customHeight="true" outlineLevel="0" collapsed="false">
      <c r="A158" s="9" t="s">
        <v>1018</v>
      </c>
      <c r="B158" s="9" t="s">
        <v>1019</v>
      </c>
      <c r="C158" s="9" t="s">
        <v>320</v>
      </c>
      <c r="D158" s="9" t="s">
        <v>906</v>
      </c>
      <c r="E158" s="9" t="s">
        <v>320</v>
      </c>
      <c r="F158" s="9" t="s">
        <v>1020</v>
      </c>
      <c r="G158" s="9" t="s">
        <v>1021</v>
      </c>
      <c r="H158" s="9" t="s">
        <v>84</v>
      </c>
      <c r="I158" s="9" t="s">
        <v>1022</v>
      </c>
      <c r="J158" s="9" t="s">
        <v>1023</v>
      </c>
    </row>
    <row r="159" customFormat="false" ht="36" hidden="false" customHeight="true" outlineLevel="0" collapsed="false">
      <c r="A159" s="8" t="s">
        <v>1024</v>
      </c>
      <c r="B159" s="8" t="s">
        <v>1025</v>
      </c>
      <c r="C159" s="8" t="s">
        <v>1026</v>
      </c>
      <c r="D159" s="8" t="s">
        <v>906</v>
      </c>
      <c r="E159" s="8" t="s">
        <v>320</v>
      </c>
      <c r="F159" s="8" t="s">
        <v>1027</v>
      </c>
      <c r="G159" s="8" t="s">
        <v>1028</v>
      </c>
      <c r="H159" s="8" t="s">
        <v>84</v>
      </c>
      <c r="I159" s="8" t="s">
        <v>1029</v>
      </c>
      <c r="J159" s="8" t="s">
        <v>320</v>
      </c>
    </row>
    <row r="160" customFormat="false" ht="36" hidden="false" customHeight="true" outlineLevel="0" collapsed="false">
      <c r="A160" s="9" t="s">
        <v>1030</v>
      </c>
      <c r="B160" s="9" t="s">
        <v>1031</v>
      </c>
      <c r="C160" s="9" t="s">
        <v>320</v>
      </c>
      <c r="D160" s="9" t="s">
        <v>906</v>
      </c>
      <c r="E160" s="9" t="s">
        <v>1032</v>
      </c>
      <c r="F160" s="9" t="s">
        <v>1033</v>
      </c>
      <c r="G160" s="9" t="s">
        <v>1034</v>
      </c>
      <c r="H160" s="9" t="s">
        <v>1035</v>
      </c>
      <c r="I160" s="9" t="s">
        <v>1036</v>
      </c>
      <c r="J160" s="9" t="s">
        <v>1037</v>
      </c>
    </row>
    <row r="161" customFormat="false" ht="36" hidden="false" customHeight="true" outlineLevel="0" collapsed="false">
      <c r="A161" s="8" t="s">
        <v>1038</v>
      </c>
      <c r="B161" s="8" t="s">
        <v>1039</v>
      </c>
      <c r="C161" s="8" t="s">
        <v>1023</v>
      </c>
      <c r="D161" s="8" t="s">
        <v>906</v>
      </c>
      <c r="E161" s="8" t="s">
        <v>1032</v>
      </c>
      <c r="F161" s="8" t="s">
        <v>1040</v>
      </c>
      <c r="G161" s="8" t="s">
        <v>1041</v>
      </c>
      <c r="H161" s="8" t="s">
        <v>84</v>
      </c>
      <c r="I161" s="8" t="s">
        <v>1042</v>
      </c>
      <c r="J161" s="8" t="s">
        <v>320</v>
      </c>
    </row>
    <row r="162" customFormat="false" ht="36" hidden="false" customHeight="true" outlineLevel="0" collapsed="false">
      <c r="A162" s="9" t="s">
        <v>1043</v>
      </c>
      <c r="B162" s="9" t="s">
        <v>1044</v>
      </c>
      <c r="C162" s="9" t="s">
        <v>1045</v>
      </c>
      <c r="D162" s="9" t="s">
        <v>906</v>
      </c>
      <c r="E162" s="9" t="s">
        <v>1032</v>
      </c>
      <c r="F162" s="9" t="s">
        <v>1046</v>
      </c>
      <c r="G162" s="9" t="s">
        <v>1047</v>
      </c>
      <c r="H162" s="9" t="s">
        <v>84</v>
      </c>
      <c r="I162" s="9" t="s">
        <v>1048</v>
      </c>
      <c r="J162" s="9" t="s">
        <v>320</v>
      </c>
    </row>
    <row r="163" customFormat="false" ht="36" hidden="false" customHeight="true" outlineLevel="0" collapsed="false">
      <c r="A163" s="8" t="s">
        <v>1049</v>
      </c>
      <c r="B163" s="8" t="s">
        <v>1050</v>
      </c>
      <c r="C163" s="8" t="s">
        <v>1051</v>
      </c>
      <c r="D163" s="8" t="s">
        <v>906</v>
      </c>
      <c r="E163" s="8" t="s">
        <v>1032</v>
      </c>
      <c r="F163" s="8" t="s">
        <v>1052</v>
      </c>
      <c r="G163" s="8" t="s">
        <v>1053</v>
      </c>
      <c r="H163" s="8" t="s">
        <v>84</v>
      </c>
      <c r="I163" s="8" t="s">
        <v>1054</v>
      </c>
      <c r="J163" s="8" t="s">
        <v>1055</v>
      </c>
    </row>
    <row r="164" customFormat="false" ht="36" hidden="false" customHeight="true" outlineLevel="0" collapsed="false">
      <c r="A164" s="9" t="s">
        <v>1056</v>
      </c>
      <c r="B164" s="9" t="s">
        <v>1057</v>
      </c>
      <c r="C164" s="9" t="s">
        <v>565</v>
      </c>
      <c r="D164" s="9" t="s">
        <v>906</v>
      </c>
      <c r="E164" s="9" t="s">
        <v>1032</v>
      </c>
      <c r="F164" s="9" t="s">
        <v>1058</v>
      </c>
      <c r="G164" s="9" t="s">
        <v>1059</v>
      </c>
      <c r="H164" s="9" t="s">
        <v>84</v>
      </c>
      <c r="I164" s="9" t="s">
        <v>1060</v>
      </c>
      <c r="J164" s="9" t="s">
        <v>560</v>
      </c>
    </row>
    <row r="165" customFormat="false" ht="36" hidden="false" customHeight="true" outlineLevel="0" collapsed="false">
      <c r="A165" s="8" t="s">
        <v>1061</v>
      </c>
      <c r="B165" s="8" t="s">
        <v>1062</v>
      </c>
      <c r="C165" s="8" t="s">
        <v>557</v>
      </c>
      <c r="D165" s="8" t="s">
        <v>906</v>
      </c>
      <c r="E165" s="8" t="s">
        <v>1032</v>
      </c>
      <c r="F165" s="8" t="s">
        <v>1063</v>
      </c>
      <c r="G165" s="8" t="s">
        <v>1064</v>
      </c>
      <c r="H165" s="8" t="s">
        <v>84</v>
      </c>
      <c r="I165" s="8" t="s">
        <v>1065</v>
      </c>
      <c r="J165" s="8" t="s">
        <v>550</v>
      </c>
    </row>
    <row r="166" customFormat="false" ht="36" hidden="false" customHeight="true" outlineLevel="0" collapsed="false">
      <c r="A166" s="9" t="s">
        <v>1066</v>
      </c>
      <c r="B166" s="9" t="s">
        <v>1067</v>
      </c>
      <c r="C166" s="9" t="s">
        <v>1068</v>
      </c>
      <c r="D166" s="9" t="s">
        <v>906</v>
      </c>
      <c r="E166" s="9" t="s">
        <v>1032</v>
      </c>
      <c r="F166" s="9" t="s">
        <v>1069</v>
      </c>
      <c r="G166" s="9" t="s">
        <v>1070</v>
      </c>
      <c r="H166" s="9" t="s">
        <v>84</v>
      </c>
      <c r="I166" s="9" t="s">
        <v>1071</v>
      </c>
      <c r="J166" s="9" t="s">
        <v>134</v>
      </c>
    </row>
    <row r="167" customFormat="false" ht="36" hidden="false" customHeight="true" outlineLevel="0" collapsed="false">
      <c r="A167" s="8" t="s">
        <v>1072</v>
      </c>
      <c r="B167" s="8" t="s">
        <v>1073</v>
      </c>
      <c r="C167" s="8" t="s">
        <v>434</v>
      </c>
      <c r="D167" s="8" t="s">
        <v>906</v>
      </c>
      <c r="E167" s="8" t="s">
        <v>1032</v>
      </c>
      <c r="F167" s="8" t="s">
        <v>1074</v>
      </c>
      <c r="G167" s="8" t="s">
        <v>1075</v>
      </c>
      <c r="H167" s="8" t="s">
        <v>84</v>
      </c>
      <c r="I167" s="8" t="s">
        <v>1076</v>
      </c>
      <c r="J167" s="8" t="s">
        <v>434</v>
      </c>
    </row>
    <row r="168" customFormat="false" ht="36" hidden="false" customHeight="true" outlineLevel="0" collapsed="false">
      <c r="A168" s="9" t="s">
        <v>1077</v>
      </c>
      <c r="B168" s="9" t="s">
        <v>1078</v>
      </c>
      <c r="C168" s="9" t="s">
        <v>1055</v>
      </c>
      <c r="D168" s="9" t="s">
        <v>906</v>
      </c>
      <c r="E168" s="9" t="s">
        <v>320</v>
      </c>
      <c r="F168" s="9" t="s">
        <v>1079</v>
      </c>
      <c r="G168" s="9" t="s">
        <v>1080</v>
      </c>
      <c r="H168" s="9" t="s">
        <v>84</v>
      </c>
      <c r="I168" s="9" t="s">
        <v>1081</v>
      </c>
      <c r="J168" s="9" t="s">
        <v>531</v>
      </c>
    </row>
    <row r="169" customFormat="false" ht="36" hidden="false" customHeight="true" outlineLevel="0" collapsed="false">
      <c r="A169" s="8" t="s">
        <v>1082</v>
      </c>
      <c r="B169" s="8" t="s">
        <v>1083</v>
      </c>
      <c r="C169" s="8" t="s">
        <v>1084</v>
      </c>
      <c r="D169" s="8" t="s">
        <v>906</v>
      </c>
      <c r="E169" s="8" t="s">
        <v>320</v>
      </c>
      <c r="F169" s="8" t="s">
        <v>1085</v>
      </c>
      <c r="G169" s="8" t="s">
        <v>1086</v>
      </c>
      <c r="H169" s="8" t="s">
        <v>320</v>
      </c>
      <c r="I169" s="8" t="s">
        <v>1087</v>
      </c>
      <c r="J169" s="8" t="s">
        <v>320</v>
      </c>
    </row>
    <row r="170" customFormat="false" ht="36" hidden="false" customHeight="true" outlineLevel="0" collapsed="false">
      <c r="A170" s="9" t="s">
        <v>1088</v>
      </c>
      <c r="B170" s="9" t="s">
        <v>1089</v>
      </c>
      <c r="C170" s="9"/>
      <c r="D170" s="9" t="s">
        <v>906</v>
      </c>
      <c r="E170" s="9" t="s">
        <v>320</v>
      </c>
      <c r="F170" s="9" t="s">
        <v>1090</v>
      </c>
      <c r="G170" s="9" t="s">
        <v>1091</v>
      </c>
      <c r="H170" s="9" t="s">
        <v>542</v>
      </c>
      <c r="I170" s="9" t="s">
        <v>1092</v>
      </c>
      <c r="J170" s="9" t="s">
        <v>730</v>
      </c>
    </row>
    <row r="171" customFormat="false" ht="36" hidden="false" customHeight="true" outlineLevel="0" collapsed="false">
      <c r="A171" s="8" t="s">
        <v>1093</v>
      </c>
      <c r="B171" s="8" t="s">
        <v>1094</v>
      </c>
      <c r="C171" s="8" t="s">
        <v>1095</v>
      </c>
      <c r="D171" s="8" t="s">
        <v>906</v>
      </c>
      <c r="E171" s="8" t="s">
        <v>320</v>
      </c>
      <c r="F171" s="8" t="s">
        <v>1096</v>
      </c>
      <c r="G171" s="8" t="s">
        <v>1097</v>
      </c>
      <c r="H171" s="8" t="s">
        <v>84</v>
      </c>
      <c r="I171" s="8" t="s">
        <v>1098</v>
      </c>
      <c r="J171" s="8" t="s">
        <v>1099</v>
      </c>
    </row>
    <row r="172" customFormat="false" ht="36" hidden="false" customHeight="true" outlineLevel="0" collapsed="false">
      <c r="A172" s="9" t="s">
        <v>1100</v>
      </c>
      <c r="B172" s="9" t="s">
        <v>1101</v>
      </c>
      <c r="C172" s="9" t="s">
        <v>1102</v>
      </c>
      <c r="D172" s="9" t="s">
        <v>906</v>
      </c>
      <c r="E172" s="9" t="s">
        <v>320</v>
      </c>
      <c r="F172" s="9" t="s">
        <v>1103</v>
      </c>
      <c r="G172" s="9" t="s">
        <v>1104</v>
      </c>
      <c r="H172" s="9" t="s">
        <v>84</v>
      </c>
      <c r="I172" s="9" t="s">
        <v>1105</v>
      </c>
      <c r="J172" s="9" t="s">
        <v>371</v>
      </c>
    </row>
    <row r="173" customFormat="false" ht="36" hidden="false" customHeight="true" outlineLevel="0" collapsed="false">
      <c r="A173" s="8" t="s">
        <v>1106</v>
      </c>
      <c r="B173" s="8" t="s">
        <v>1107</v>
      </c>
      <c r="C173" s="8"/>
      <c r="D173" s="8" t="s">
        <v>906</v>
      </c>
      <c r="E173" s="8" t="s">
        <v>320</v>
      </c>
      <c r="F173" s="8" t="s">
        <v>1108</v>
      </c>
      <c r="G173" s="8" t="s">
        <v>1109</v>
      </c>
      <c r="H173" s="8" t="s">
        <v>84</v>
      </c>
      <c r="I173" s="8" t="s">
        <v>1110</v>
      </c>
      <c r="J173" s="8" t="s">
        <v>252</v>
      </c>
    </row>
    <row r="174" customFormat="false" ht="36" hidden="false" customHeight="true" outlineLevel="0" collapsed="false">
      <c r="A174" s="9" t="s">
        <v>1111</v>
      </c>
      <c r="B174" s="9" t="s">
        <v>1112</v>
      </c>
      <c r="C174" s="9" t="s">
        <v>1112</v>
      </c>
      <c r="D174" s="9" t="s">
        <v>906</v>
      </c>
      <c r="E174" s="9" t="s">
        <v>269</v>
      </c>
      <c r="F174" s="9" t="s">
        <v>1113</v>
      </c>
      <c r="G174" s="9" t="s">
        <v>1114</v>
      </c>
      <c r="H174" s="9" t="s">
        <v>238</v>
      </c>
      <c r="I174" s="9" t="s">
        <v>1115</v>
      </c>
      <c r="J174" s="9" t="s">
        <v>1116</v>
      </c>
    </row>
    <row r="175" customFormat="false" ht="36" hidden="false" customHeight="true" outlineLevel="0" collapsed="false">
      <c r="A175" s="8" t="s">
        <v>1117</v>
      </c>
      <c r="B175" s="8" t="s">
        <v>1116</v>
      </c>
      <c r="C175" s="8" t="s">
        <v>1116</v>
      </c>
      <c r="D175" s="8" t="s">
        <v>906</v>
      </c>
      <c r="E175" s="8" t="s">
        <v>269</v>
      </c>
      <c r="F175" s="8" t="s">
        <v>1118</v>
      </c>
      <c r="G175" s="8" t="s">
        <v>1119</v>
      </c>
      <c r="H175" s="8" t="s">
        <v>1120</v>
      </c>
      <c r="I175" s="8" t="s">
        <v>1121</v>
      </c>
      <c r="J175" s="8" t="s">
        <v>1112</v>
      </c>
    </row>
    <row r="176" customFormat="false" ht="36" hidden="false" customHeight="true" outlineLevel="0" collapsed="false">
      <c r="A176" s="9" t="s">
        <v>1122</v>
      </c>
      <c r="B176" s="9" t="s">
        <v>1123</v>
      </c>
      <c r="C176" s="9" t="s">
        <v>1123</v>
      </c>
      <c r="D176" s="9" t="s">
        <v>906</v>
      </c>
      <c r="E176" s="9" t="s">
        <v>269</v>
      </c>
      <c r="F176" s="9" t="s">
        <v>1124</v>
      </c>
      <c r="G176" s="9" t="s">
        <v>1125</v>
      </c>
      <c r="H176" s="9" t="s">
        <v>238</v>
      </c>
      <c r="I176" s="9" t="s">
        <v>1126</v>
      </c>
      <c r="J176" s="9" t="s">
        <v>267</v>
      </c>
    </row>
    <row r="177" customFormat="false" ht="36" hidden="false" customHeight="true" outlineLevel="0" collapsed="false">
      <c r="A177" s="8" t="s">
        <v>1127</v>
      </c>
      <c r="B177" s="8" t="s">
        <v>1128</v>
      </c>
      <c r="C177" s="8" t="s">
        <v>1128</v>
      </c>
      <c r="D177" s="8" t="s">
        <v>906</v>
      </c>
      <c r="E177" s="8" t="s">
        <v>170</v>
      </c>
      <c r="F177" s="8" t="s">
        <v>1129</v>
      </c>
      <c r="G177" s="8" t="s">
        <v>1130</v>
      </c>
      <c r="H177" s="8" t="s">
        <v>1131</v>
      </c>
      <c r="I177" s="8" t="s">
        <v>1132</v>
      </c>
      <c r="J177" s="8" t="s">
        <v>208</v>
      </c>
    </row>
    <row r="178" customFormat="false" ht="36" hidden="false" customHeight="true" outlineLevel="0" collapsed="false">
      <c r="A178" s="9" t="s">
        <v>1133</v>
      </c>
      <c r="B178" s="9" t="s">
        <v>1134</v>
      </c>
      <c r="C178" s="9" t="s">
        <v>1135</v>
      </c>
      <c r="D178" s="9" t="s">
        <v>906</v>
      </c>
      <c r="E178" s="9" t="s">
        <v>170</v>
      </c>
      <c r="F178" s="9" t="s">
        <v>1136</v>
      </c>
      <c r="G178" s="9" t="s">
        <v>1137</v>
      </c>
      <c r="H178" s="9" t="s">
        <v>1128</v>
      </c>
      <c r="I178" s="9" t="s">
        <v>1138</v>
      </c>
      <c r="J178" s="9" t="s">
        <v>1139</v>
      </c>
    </row>
    <row r="179" customFormat="false" ht="36" hidden="false" customHeight="true" outlineLevel="0" collapsed="false">
      <c r="A179" s="8" t="s">
        <v>1140</v>
      </c>
      <c r="B179" s="8" t="s">
        <v>1141</v>
      </c>
      <c r="C179" s="8" t="s">
        <v>1139</v>
      </c>
      <c r="D179" s="8" t="s">
        <v>906</v>
      </c>
      <c r="E179" s="8" t="s">
        <v>170</v>
      </c>
      <c r="F179" s="8" t="s">
        <v>1142</v>
      </c>
      <c r="G179" s="8" t="s">
        <v>1143</v>
      </c>
      <c r="H179" s="8" t="s">
        <v>1128</v>
      </c>
      <c r="I179" s="8" t="s">
        <v>1144</v>
      </c>
      <c r="J179" s="8" t="s">
        <v>189</v>
      </c>
    </row>
    <row r="180" customFormat="false" ht="36" hidden="false" customHeight="true" outlineLevel="0" collapsed="false">
      <c r="A180" s="9" t="s">
        <v>1145</v>
      </c>
      <c r="B180" s="9" t="s">
        <v>1146</v>
      </c>
      <c r="C180" s="9" t="s">
        <v>1147</v>
      </c>
      <c r="D180" s="9" t="s">
        <v>1147</v>
      </c>
      <c r="E180" s="9" t="s">
        <v>47</v>
      </c>
      <c r="F180" s="9" t="s">
        <v>1148</v>
      </c>
      <c r="G180" s="9" t="s">
        <v>1149</v>
      </c>
      <c r="H180" s="9" t="s">
        <v>623</v>
      </c>
      <c r="I180" s="9" t="s">
        <v>1150</v>
      </c>
      <c r="J180" s="9" t="s">
        <v>1151</v>
      </c>
    </row>
    <row r="181" customFormat="false" ht="36" hidden="false" customHeight="true" outlineLevel="0" collapsed="false">
      <c r="A181" s="8" t="s">
        <v>1152</v>
      </c>
      <c r="B181" s="8" t="s">
        <v>1151</v>
      </c>
      <c r="C181" s="8" t="s">
        <v>1151</v>
      </c>
      <c r="D181" s="8" t="s">
        <v>1147</v>
      </c>
      <c r="E181" s="8" t="s">
        <v>922</v>
      </c>
      <c r="F181" s="8" t="s">
        <v>1153</v>
      </c>
      <c r="G181" s="8" t="s">
        <v>1154</v>
      </c>
      <c r="H181" s="8" t="s">
        <v>623</v>
      </c>
      <c r="I181" s="8" t="s">
        <v>1155</v>
      </c>
      <c r="J181" s="8" t="s">
        <v>1156</v>
      </c>
    </row>
    <row r="182" customFormat="false" ht="36" hidden="false" customHeight="true" outlineLevel="0" collapsed="false">
      <c r="A182" s="9" t="s">
        <v>1157</v>
      </c>
      <c r="B182" s="9" t="s">
        <v>1156</v>
      </c>
      <c r="C182" s="9" t="s">
        <v>1156</v>
      </c>
      <c r="D182" s="9" t="s">
        <v>1147</v>
      </c>
      <c r="E182" s="9" t="s">
        <v>922</v>
      </c>
      <c r="F182" s="9" t="s">
        <v>1158</v>
      </c>
      <c r="G182" s="9" t="s">
        <v>1159</v>
      </c>
      <c r="H182" s="9" t="s">
        <v>623</v>
      </c>
      <c r="I182" s="9" t="s">
        <v>1160</v>
      </c>
      <c r="J182" s="9" t="s">
        <v>1161</v>
      </c>
    </row>
    <row r="183" customFormat="false" ht="36" hidden="false" customHeight="true" outlineLevel="0" collapsed="false">
      <c r="A183" s="8" t="s">
        <v>1162</v>
      </c>
      <c r="B183" s="8" t="s">
        <v>1161</v>
      </c>
      <c r="C183" s="8" t="s">
        <v>1161</v>
      </c>
      <c r="D183" s="8" t="s">
        <v>1147</v>
      </c>
      <c r="E183" s="8" t="s">
        <v>922</v>
      </c>
      <c r="F183" s="8" t="s">
        <v>1163</v>
      </c>
      <c r="G183" s="8" t="s">
        <v>1164</v>
      </c>
      <c r="H183" s="8" t="s">
        <v>623</v>
      </c>
      <c r="I183" s="8" t="s">
        <v>1165</v>
      </c>
      <c r="J183" s="8" t="s">
        <v>1156</v>
      </c>
    </row>
    <row r="184" customFormat="false" ht="36" hidden="false" customHeight="true" outlineLevel="0" collapsed="false">
      <c r="A184" s="9" t="s">
        <v>1166</v>
      </c>
      <c r="B184" s="9" t="s">
        <v>1167</v>
      </c>
      <c r="C184" s="9" t="s">
        <v>1167</v>
      </c>
      <c r="D184" s="9" t="s">
        <v>1147</v>
      </c>
      <c r="E184" s="9" t="s">
        <v>922</v>
      </c>
      <c r="F184" s="9" t="s">
        <v>1168</v>
      </c>
      <c r="G184" s="9" t="s">
        <v>1169</v>
      </c>
      <c r="H184" s="9" t="s">
        <v>623</v>
      </c>
      <c r="I184" s="9" t="s">
        <v>1170</v>
      </c>
      <c r="J184" s="9" t="s">
        <v>1171</v>
      </c>
    </row>
    <row r="185" customFormat="false" ht="36" hidden="false" customHeight="true" outlineLevel="0" collapsed="false">
      <c r="A185" s="8" t="s">
        <v>1172</v>
      </c>
      <c r="B185" s="8" t="s">
        <v>1173</v>
      </c>
      <c r="C185" s="8" t="s">
        <v>1173</v>
      </c>
      <c r="D185" s="8" t="s">
        <v>1147</v>
      </c>
      <c r="E185" s="8" t="s">
        <v>922</v>
      </c>
      <c r="F185" s="8" t="s">
        <v>1174</v>
      </c>
      <c r="G185" s="8" t="s">
        <v>1175</v>
      </c>
      <c r="H185" s="8" t="s">
        <v>623</v>
      </c>
      <c r="I185" s="8" t="s">
        <v>1176</v>
      </c>
      <c r="J185" s="8" t="s">
        <v>1177</v>
      </c>
    </row>
    <row r="186" customFormat="false" ht="36" hidden="false" customHeight="true" outlineLevel="0" collapsed="false">
      <c r="A186" s="9" t="s">
        <v>1178</v>
      </c>
      <c r="B186" s="9" t="s">
        <v>1177</v>
      </c>
      <c r="C186" s="9" t="s">
        <v>1177</v>
      </c>
      <c r="D186" s="9" t="s">
        <v>1147</v>
      </c>
      <c r="E186" s="9" t="s">
        <v>922</v>
      </c>
      <c r="F186" s="9" t="s">
        <v>1179</v>
      </c>
      <c r="G186" s="9" t="s">
        <v>1180</v>
      </c>
      <c r="H186" s="9" t="s">
        <v>623</v>
      </c>
      <c r="I186" s="9" t="s">
        <v>1181</v>
      </c>
      <c r="J186" s="9" t="s">
        <v>1173</v>
      </c>
    </row>
    <row r="187" customFormat="false" ht="36" hidden="false" customHeight="true" outlineLevel="0" collapsed="false">
      <c r="A187" s="8" t="s">
        <v>1182</v>
      </c>
      <c r="B187" s="8" t="s">
        <v>1183</v>
      </c>
      <c r="C187" s="8" t="s">
        <v>1183</v>
      </c>
      <c r="D187" s="8" t="s">
        <v>1147</v>
      </c>
      <c r="E187" s="8" t="s">
        <v>922</v>
      </c>
      <c r="F187" s="8" t="s">
        <v>1184</v>
      </c>
      <c r="G187" s="8" t="s">
        <v>1185</v>
      </c>
      <c r="H187" s="8" t="s">
        <v>623</v>
      </c>
      <c r="I187" s="8" t="s">
        <v>1186</v>
      </c>
      <c r="J187" s="8" t="s">
        <v>1177</v>
      </c>
    </row>
    <row r="188" customFormat="false" ht="36" hidden="false" customHeight="true" outlineLevel="0" collapsed="false">
      <c r="A188" s="9" t="s">
        <v>1187</v>
      </c>
      <c r="B188" s="9" t="s">
        <v>1188</v>
      </c>
      <c r="C188" s="9" t="s">
        <v>1189</v>
      </c>
      <c r="D188" s="9" t="s">
        <v>1147</v>
      </c>
      <c r="E188" s="9" t="s">
        <v>922</v>
      </c>
      <c r="F188" s="9" t="s">
        <v>1190</v>
      </c>
      <c r="G188" s="9" t="s">
        <v>1191</v>
      </c>
      <c r="H188" s="9" t="s">
        <v>623</v>
      </c>
      <c r="I188" s="9" t="s">
        <v>1192</v>
      </c>
      <c r="J188" s="9" t="s">
        <v>1193</v>
      </c>
    </row>
    <row r="189" customFormat="false" ht="36" hidden="false" customHeight="true" outlineLevel="0" collapsed="false">
      <c r="A189" s="8" t="s">
        <v>1194</v>
      </c>
      <c r="B189" s="8" t="s">
        <v>1195</v>
      </c>
      <c r="C189" s="8" t="s">
        <v>1196</v>
      </c>
      <c r="D189" s="8" t="s">
        <v>1147</v>
      </c>
      <c r="E189" s="8" t="s">
        <v>922</v>
      </c>
      <c r="F189" s="8" t="s">
        <v>1197</v>
      </c>
      <c r="G189" s="8" t="s">
        <v>1198</v>
      </c>
      <c r="H189" s="8" t="s">
        <v>623</v>
      </c>
      <c r="I189" s="8" t="s">
        <v>1199</v>
      </c>
      <c r="J189" s="8" t="s">
        <v>1200</v>
      </c>
    </row>
    <row r="190" customFormat="false" ht="36" hidden="false" customHeight="true" outlineLevel="0" collapsed="false">
      <c r="A190" s="9" t="s">
        <v>1201</v>
      </c>
      <c r="B190" s="9" t="s">
        <v>1202</v>
      </c>
      <c r="C190" s="9" t="s">
        <v>1202</v>
      </c>
      <c r="D190" s="9" t="s">
        <v>1147</v>
      </c>
      <c r="E190" s="9" t="s">
        <v>922</v>
      </c>
      <c r="F190" s="9" t="s">
        <v>1203</v>
      </c>
      <c r="G190" s="9" t="s">
        <v>1204</v>
      </c>
      <c r="H190" s="9" t="s">
        <v>1205</v>
      </c>
      <c r="I190" s="9" t="s">
        <v>1206</v>
      </c>
      <c r="J190" s="9" t="s">
        <v>1207</v>
      </c>
    </row>
    <row r="191" customFormat="false" ht="36" hidden="false" customHeight="true" outlineLevel="0" collapsed="false">
      <c r="A191" s="8" t="s">
        <v>1208</v>
      </c>
      <c r="B191" s="8" t="s">
        <v>1209</v>
      </c>
      <c r="C191" s="8" t="s">
        <v>1209</v>
      </c>
      <c r="D191" s="8" t="s">
        <v>1147</v>
      </c>
      <c r="E191" s="8" t="s">
        <v>922</v>
      </c>
      <c r="F191" s="8" t="s">
        <v>1210</v>
      </c>
      <c r="G191" s="8" t="s">
        <v>1211</v>
      </c>
      <c r="H191" s="8" t="s">
        <v>1212</v>
      </c>
      <c r="I191" s="8" t="s">
        <v>1213</v>
      </c>
      <c r="J191" s="8" t="s">
        <v>1202</v>
      </c>
    </row>
    <row r="192" customFormat="false" ht="36" hidden="false" customHeight="true" outlineLevel="0" collapsed="false">
      <c r="A192" s="9" t="s">
        <v>1214</v>
      </c>
      <c r="B192" s="9" t="s">
        <v>1215</v>
      </c>
      <c r="C192" s="9"/>
      <c r="D192" s="9" t="s">
        <v>1147</v>
      </c>
      <c r="E192" s="9" t="s">
        <v>1216</v>
      </c>
      <c r="F192" s="9" t="s">
        <v>1217</v>
      </c>
      <c r="G192" s="9" t="s">
        <v>1218</v>
      </c>
      <c r="H192" s="9" t="s">
        <v>1219</v>
      </c>
      <c r="I192" s="9" t="s">
        <v>1220</v>
      </c>
      <c r="J192" s="9" t="s">
        <v>1221</v>
      </c>
    </row>
    <row r="193" customFormat="false" ht="36" hidden="false" customHeight="true" outlineLevel="0" collapsed="false">
      <c r="A193" s="8" t="s">
        <v>1222</v>
      </c>
      <c r="B193" s="8" t="s">
        <v>1221</v>
      </c>
      <c r="C193" s="8"/>
      <c r="D193" s="8" t="s">
        <v>1147</v>
      </c>
      <c r="E193" s="8" t="s">
        <v>1216</v>
      </c>
      <c r="F193" s="8" t="s">
        <v>1223</v>
      </c>
      <c r="G193" s="8" t="s">
        <v>1224</v>
      </c>
      <c r="H193" s="8" t="s">
        <v>1219</v>
      </c>
      <c r="I193" s="8" t="s">
        <v>1225</v>
      </c>
      <c r="J193" s="8" t="s">
        <v>1226</v>
      </c>
    </row>
    <row r="194" customFormat="false" ht="36" hidden="false" customHeight="true" outlineLevel="0" collapsed="false">
      <c r="A194" s="9" t="s">
        <v>1227</v>
      </c>
      <c r="B194" s="9" t="s">
        <v>1228</v>
      </c>
      <c r="C194" s="9" t="s">
        <v>1229</v>
      </c>
      <c r="D194" s="9" t="s">
        <v>1147</v>
      </c>
      <c r="E194" s="9" t="s">
        <v>1216</v>
      </c>
      <c r="F194" s="9" t="s">
        <v>1230</v>
      </c>
      <c r="G194" s="9" t="s">
        <v>1231</v>
      </c>
      <c r="H194" s="9" t="s">
        <v>623</v>
      </c>
      <c r="I194" s="9" t="s">
        <v>1232</v>
      </c>
      <c r="J194" s="9" t="s">
        <v>1233</v>
      </c>
    </row>
    <row r="195" customFormat="false" ht="36" hidden="false" customHeight="true" outlineLevel="0" collapsed="false">
      <c r="A195" s="8" t="s">
        <v>1234</v>
      </c>
      <c r="B195" s="8" t="s">
        <v>1235</v>
      </c>
      <c r="C195" s="8" t="s">
        <v>1236</v>
      </c>
      <c r="D195" s="8" t="s">
        <v>1147</v>
      </c>
      <c r="E195" s="8" t="s">
        <v>1216</v>
      </c>
      <c r="F195" s="8" t="s">
        <v>1237</v>
      </c>
      <c r="G195" s="8" t="s">
        <v>1238</v>
      </c>
      <c r="H195" s="8" t="s">
        <v>623</v>
      </c>
      <c r="I195" s="8" t="s">
        <v>1239</v>
      </c>
      <c r="J195" s="8" t="s">
        <v>1240</v>
      </c>
    </row>
    <row r="196" customFormat="false" ht="36" hidden="false" customHeight="true" outlineLevel="0" collapsed="false">
      <c r="A196" s="9" t="s">
        <v>1241</v>
      </c>
      <c r="B196" s="9" t="s">
        <v>1242</v>
      </c>
      <c r="C196" s="9" t="s">
        <v>1240</v>
      </c>
      <c r="D196" s="9" t="s">
        <v>1147</v>
      </c>
      <c r="E196" s="9" t="s">
        <v>1216</v>
      </c>
      <c r="F196" s="9" t="s">
        <v>1243</v>
      </c>
      <c r="G196" s="9" t="s">
        <v>1244</v>
      </c>
      <c r="H196" s="9" t="s">
        <v>623</v>
      </c>
      <c r="I196" s="9" t="s">
        <v>1245</v>
      </c>
      <c r="J196" s="9" t="s">
        <v>1236</v>
      </c>
    </row>
    <row r="197" customFormat="false" ht="36" hidden="false" customHeight="true" outlineLevel="0" collapsed="false">
      <c r="A197" s="8" t="s">
        <v>1246</v>
      </c>
      <c r="B197" s="8" t="s">
        <v>1247</v>
      </c>
      <c r="C197" s="8" t="s">
        <v>1248</v>
      </c>
      <c r="D197" s="8" t="s">
        <v>1147</v>
      </c>
      <c r="E197" s="8" t="s">
        <v>1249</v>
      </c>
      <c r="F197" s="8" t="s">
        <v>1250</v>
      </c>
      <c r="G197" s="8" t="s">
        <v>1251</v>
      </c>
      <c r="H197" s="8" t="s">
        <v>1252</v>
      </c>
      <c r="I197" s="8" t="s">
        <v>1253</v>
      </c>
      <c r="J197" s="8" t="s">
        <v>476</v>
      </c>
    </row>
    <row r="198" customFormat="false" ht="36" hidden="false" customHeight="true" outlineLevel="0" collapsed="false">
      <c r="A198" s="9" t="s">
        <v>1254</v>
      </c>
      <c r="B198" s="9" t="s">
        <v>1255</v>
      </c>
      <c r="C198" s="9"/>
      <c r="D198" s="9" t="s">
        <v>1147</v>
      </c>
      <c r="E198" s="9" t="s">
        <v>1249</v>
      </c>
      <c r="F198" s="9" t="s">
        <v>1256</v>
      </c>
      <c r="G198" s="9" t="s">
        <v>1257</v>
      </c>
      <c r="H198" s="9" t="s">
        <v>623</v>
      </c>
      <c r="I198" s="9" t="s">
        <v>1258</v>
      </c>
      <c r="J198" s="9" t="s">
        <v>1248</v>
      </c>
    </row>
    <row r="199" customFormat="false" ht="36" hidden="false" customHeight="true" outlineLevel="0" collapsed="false">
      <c r="A199" s="8" t="s">
        <v>1259</v>
      </c>
      <c r="B199" s="8" t="s">
        <v>1260</v>
      </c>
      <c r="C199" s="8" t="s">
        <v>1261</v>
      </c>
      <c r="D199" s="8" t="s">
        <v>1147</v>
      </c>
      <c r="E199" s="8" t="s">
        <v>1249</v>
      </c>
      <c r="F199" s="8" t="s">
        <v>1262</v>
      </c>
      <c r="G199" s="8" t="s">
        <v>1263</v>
      </c>
      <c r="H199" s="8" t="s">
        <v>623</v>
      </c>
      <c r="I199" s="8" t="s">
        <v>1264</v>
      </c>
      <c r="J199" s="8" t="s">
        <v>1265</v>
      </c>
    </row>
    <row r="200" customFormat="false" ht="36" hidden="false" customHeight="true" outlineLevel="0" collapsed="false">
      <c r="A200" s="9" t="s">
        <v>1266</v>
      </c>
      <c r="B200" s="9" t="s">
        <v>1265</v>
      </c>
      <c r="C200" s="9"/>
      <c r="D200" s="9" t="s">
        <v>1147</v>
      </c>
      <c r="E200" s="9" t="s">
        <v>1267</v>
      </c>
      <c r="F200" s="9" t="s">
        <v>1268</v>
      </c>
      <c r="G200" s="9" t="s">
        <v>1269</v>
      </c>
      <c r="H200" s="9" t="s">
        <v>623</v>
      </c>
      <c r="I200" s="9" t="s">
        <v>1270</v>
      </c>
      <c r="J200" s="9" t="s">
        <v>1271</v>
      </c>
    </row>
    <row r="201" customFormat="false" ht="36" hidden="false" customHeight="true" outlineLevel="0" collapsed="false">
      <c r="A201" s="8" t="s">
        <v>1272</v>
      </c>
      <c r="B201" s="8" t="s">
        <v>1273</v>
      </c>
      <c r="C201" s="8" t="s">
        <v>1274</v>
      </c>
      <c r="D201" s="8" t="s">
        <v>1147</v>
      </c>
      <c r="E201" s="8" t="s">
        <v>1267</v>
      </c>
      <c r="F201" s="8" t="s">
        <v>1275</v>
      </c>
      <c r="G201" s="8" t="s">
        <v>1276</v>
      </c>
      <c r="H201" s="8" t="s">
        <v>623</v>
      </c>
      <c r="I201" s="8" t="s">
        <v>1277</v>
      </c>
      <c r="J201" s="8" t="s">
        <v>1278</v>
      </c>
    </row>
    <row r="202" customFormat="false" ht="36" hidden="false" customHeight="true" outlineLevel="0" collapsed="false">
      <c r="A202" s="9" t="s">
        <v>1279</v>
      </c>
      <c r="B202" s="9" t="s">
        <v>1280</v>
      </c>
      <c r="C202" s="9" t="s">
        <v>1278</v>
      </c>
      <c r="D202" s="9" t="s">
        <v>1147</v>
      </c>
      <c r="E202" s="9" t="s">
        <v>1267</v>
      </c>
      <c r="F202" s="9" t="s">
        <v>1281</v>
      </c>
      <c r="G202" s="9" t="s">
        <v>1282</v>
      </c>
      <c r="H202" s="9" t="s">
        <v>623</v>
      </c>
      <c r="I202" s="9" t="s">
        <v>1277</v>
      </c>
      <c r="J202" s="9" t="s">
        <v>1283</v>
      </c>
    </row>
    <row r="203" customFormat="false" ht="36" hidden="false" customHeight="true" outlineLevel="0" collapsed="false">
      <c r="A203" s="8" t="s">
        <v>1284</v>
      </c>
      <c r="B203" s="8" t="s">
        <v>1285</v>
      </c>
      <c r="C203" s="8" t="s">
        <v>1283</v>
      </c>
      <c r="D203" s="8" t="s">
        <v>1147</v>
      </c>
      <c r="E203" s="8" t="s">
        <v>1267</v>
      </c>
      <c r="F203" s="8" t="s">
        <v>1286</v>
      </c>
      <c r="G203" s="8" t="s">
        <v>1287</v>
      </c>
      <c r="H203" s="8" t="s">
        <v>623</v>
      </c>
      <c r="I203" s="8" t="s">
        <v>1288</v>
      </c>
      <c r="J203" s="8" t="s">
        <v>1289</v>
      </c>
    </row>
    <row r="204" customFormat="false" ht="36" hidden="false" customHeight="true" outlineLevel="0" collapsed="false">
      <c r="A204" s="9" t="s">
        <v>1290</v>
      </c>
      <c r="B204" s="9" t="s">
        <v>1291</v>
      </c>
      <c r="C204" s="9" t="s">
        <v>1289</v>
      </c>
      <c r="D204" s="9" t="s">
        <v>1147</v>
      </c>
      <c r="E204" s="9" t="s">
        <v>1267</v>
      </c>
      <c r="F204" s="9" t="s">
        <v>1292</v>
      </c>
      <c r="G204" s="9" t="s">
        <v>1293</v>
      </c>
      <c r="H204" s="9" t="s">
        <v>623</v>
      </c>
      <c r="I204" s="9" t="s">
        <v>1294</v>
      </c>
      <c r="J204" s="9" t="s">
        <v>1261</v>
      </c>
    </row>
    <row r="205" customFormat="false" ht="36" hidden="false" customHeight="true" outlineLevel="0" collapsed="false">
      <c r="A205" s="8" t="s">
        <v>1295</v>
      </c>
      <c r="B205" s="8" t="s">
        <v>1296</v>
      </c>
      <c r="C205" s="8"/>
      <c r="D205" s="8" t="s">
        <v>1147</v>
      </c>
      <c r="E205" s="8" t="s">
        <v>617</v>
      </c>
      <c r="F205" s="8" t="s">
        <v>1297</v>
      </c>
      <c r="G205" s="8" t="s">
        <v>1298</v>
      </c>
      <c r="H205" s="8" t="s">
        <v>623</v>
      </c>
      <c r="I205" s="8" t="s">
        <v>1299</v>
      </c>
      <c r="J205" s="8" t="s">
        <v>591</v>
      </c>
    </row>
    <row r="206" customFormat="false" ht="36" hidden="false" customHeight="true" outlineLevel="0" collapsed="false">
      <c r="A206" s="9" t="s">
        <v>1300</v>
      </c>
      <c r="B206" s="9" t="s">
        <v>1301</v>
      </c>
      <c r="C206" s="9" t="s">
        <v>1302</v>
      </c>
      <c r="D206" s="9" t="s">
        <v>1147</v>
      </c>
      <c r="E206" s="9" t="s">
        <v>922</v>
      </c>
      <c r="F206" s="9" t="s">
        <v>1303</v>
      </c>
      <c r="G206" s="9" t="s">
        <v>1304</v>
      </c>
      <c r="H206" s="9" t="s">
        <v>623</v>
      </c>
      <c r="I206" s="9" t="s">
        <v>1305</v>
      </c>
      <c r="J206" s="9" t="s">
        <v>1167</v>
      </c>
    </row>
    <row r="207" customFormat="false" ht="36" hidden="false" customHeight="true" outlineLevel="0" collapsed="false">
      <c r="A207" s="8" t="s">
        <v>1306</v>
      </c>
      <c r="B207" s="8" t="s">
        <v>1307</v>
      </c>
      <c r="C207" s="8" t="s">
        <v>1307</v>
      </c>
      <c r="D207" s="8" t="s">
        <v>1147</v>
      </c>
      <c r="E207" s="8" t="s">
        <v>922</v>
      </c>
      <c r="F207" s="8" t="s">
        <v>1308</v>
      </c>
      <c r="G207" s="8" t="s">
        <v>1309</v>
      </c>
      <c r="H207" s="8" t="s">
        <v>623</v>
      </c>
      <c r="I207" s="8" t="s">
        <v>1310</v>
      </c>
      <c r="J207" s="8" t="s">
        <v>1302</v>
      </c>
    </row>
    <row r="208" customFormat="false" ht="36" hidden="false" customHeight="true" outlineLevel="0" collapsed="false">
      <c r="A208" s="9" t="s">
        <v>1311</v>
      </c>
      <c r="B208" s="9" t="s">
        <v>1312</v>
      </c>
      <c r="C208" s="9" t="s">
        <v>1312</v>
      </c>
      <c r="D208" s="9" t="s">
        <v>1147</v>
      </c>
      <c r="E208" s="9" t="s">
        <v>922</v>
      </c>
      <c r="F208" s="9" t="s">
        <v>1313</v>
      </c>
      <c r="G208" s="9" t="s">
        <v>1314</v>
      </c>
      <c r="H208" s="9" t="s">
        <v>623</v>
      </c>
      <c r="I208" s="9" t="s">
        <v>1315</v>
      </c>
      <c r="J208" s="9" t="s">
        <v>1316</v>
      </c>
    </row>
    <row r="209" customFormat="false" ht="36" hidden="false" customHeight="true" outlineLevel="0" collapsed="false">
      <c r="A209" s="8" t="s">
        <v>1317</v>
      </c>
      <c r="B209" s="8" t="s">
        <v>1316</v>
      </c>
      <c r="C209" s="8" t="s">
        <v>1316</v>
      </c>
      <c r="D209" s="8" t="s">
        <v>1147</v>
      </c>
      <c r="E209" s="8" t="s">
        <v>922</v>
      </c>
      <c r="F209" s="8" t="s">
        <v>1318</v>
      </c>
      <c r="G209" s="8" t="s">
        <v>1319</v>
      </c>
      <c r="H209" s="8" t="s">
        <v>623</v>
      </c>
      <c r="I209" s="8" t="s">
        <v>1320</v>
      </c>
      <c r="J209" s="8" t="s">
        <v>1321</v>
      </c>
    </row>
    <row r="210" customFormat="false" ht="36" hidden="false" customHeight="true" outlineLevel="0" collapsed="false">
      <c r="A210" s="9" t="s">
        <v>1322</v>
      </c>
      <c r="B210" s="9" t="s">
        <v>1323</v>
      </c>
      <c r="C210" s="9" t="s">
        <v>1321</v>
      </c>
      <c r="D210" s="9" t="s">
        <v>1147</v>
      </c>
      <c r="E210" s="9" t="s">
        <v>922</v>
      </c>
      <c r="F210" s="9" t="s">
        <v>1324</v>
      </c>
      <c r="G210" s="9" t="s">
        <v>1325</v>
      </c>
      <c r="H210" s="9" t="s">
        <v>623</v>
      </c>
      <c r="I210" s="9" t="s">
        <v>1326</v>
      </c>
      <c r="J210" s="9" t="s">
        <v>1167</v>
      </c>
    </row>
    <row r="211" customFormat="false" ht="36" hidden="false" customHeight="true" outlineLevel="0" collapsed="false">
      <c r="A211" s="8" t="s">
        <v>1327</v>
      </c>
      <c r="B211" s="8" t="s">
        <v>1328</v>
      </c>
      <c r="C211" s="8" t="s">
        <v>1329</v>
      </c>
      <c r="D211" s="8" t="s">
        <v>1147</v>
      </c>
      <c r="E211" s="8" t="s">
        <v>922</v>
      </c>
      <c r="F211" s="8" t="s">
        <v>1330</v>
      </c>
      <c r="G211" s="8" t="s">
        <v>1331</v>
      </c>
      <c r="H211" s="8" t="s">
        <v>623</v>
      </c>
      <c r="I211" s="8" t="s">
        <v>1332</v>
      </c>
      <c r="J211" s="8" t="s">
        <v>1167</v>
      </c>
    </row>
    <row r="212" customFormat="false" ht="36" hidden="false" customHeight="true" outlineLevel="0" collapsed="false">
      <c r="A212" s="9" t="s">
        <v>1333</v>
      </c>
      <c r="B212" s="9" t="s">
        <v>1334</v>
      </c>
      <c r="C212" s="9" t="s">
        <v>1335</v>
      </c>
      <c r="D212" s="9" t="s">
        <v>1147</v>
      </c>
      <c r="E212" s="9" t="s">
        <v>1336</v>
      </c>
      <c r="F212" s="9" t="s">
        <v>1337</v>
      </c>
      <c r="G212" s="9" t="s">
        <v>1338</v>
      </c>
      <c r="H212" s="9" t="s">
        <v>623</v>
      </c>
      <c r="I212" s="9" t="s">
        <v>1339</v>
      </c>
      <c r="J212" s="9" t="s">
        <v>1340</v>
      </c>
    </row>
    <row r="213" customFormat="false" ht="36" hidden="false" customHeight="true" outlineLevel="0" collapsed="false">
      <c r="A213" s="8" t="s">
        <v>1341</v>
      </c>
      <c r="B213" s="8" t="s">
        <v>1342</v>
      </c>
      <c r="C213" s="8" t="s">
        <v>1343</v>
      </c>
      <c r="D213" s="8" t="s">
        <v>1147</v>
      </c>
      <c r="E213" s="8" t="s">
        <v>1336</v>
      </c>
      <c r="F213" s="8" t="s">
        <v>1344</v>
      </c>
      <c r="G213" s="8" t="s">
        <v>1345</v>
      </c>
      <c r="H213" s="8" t="s">
        <v>623</v>
      </c>
      <c r="I213" s="8" t="s">
        <v>1346</v>
      </c>
      <c r="J213" s="8" t="s">
        <v>1173</v>
      </c>
    </row>
    <row r="214" customFormat="false" ht="36" hidden="false" customHeight="true" outlineLevel="0" collapsed="false">
      <c r="A214" s="9" t="s">
        <v>1347</v>
      </c>
      <c r="B214" s="9" t="s">
        <v>1348</v>
      </c>
      <c r="C214" s="9" t="s">
        <v>1349</v>
      </c>
      <c r="D214" s="9" t="s">
        <v>1147</v>
      </c>
      <c r="E214" s="9" t="s">
        <v>1336</v>
      </c>
      <c r="F214" s="9" t="s">
        <v>1350</v>
      </c>
      <c r="G214" s="9" t="s">
        <v>1351</v>
      </c>
      <c r="H214" s="9" t="s">
        <v>623</v>
      </c>
      <c r="I214" s="9" t="s">
        <v>1352</v>
      </c>
      <c r="J214" s="9" t="s">
        <v>1353</v>
      </c>
    </row>
    <row r="215" customFormat="false" ht="36" hidden="false" customHeight="true" outlineLevel="0" collapsed="false">
      <c r="A215" s="8" t="s">
        <v>1354</v>
      </c>
      <c r="B215" s="8" t="s">
        <v>1355</v>
      </c>
      <c r="C215" s="8" t="s">
        <v>1193</v>
      </c>
      <c r="D215" s="8" t="s">
        <v>1147</v>
      </c>
      <c r="E215" s="8" t="s">
        <v>1336</v>
      </c>
      <c r="F215" s="8" t="s">
        <v>1356</v>
      </c>
      <c r="G215" s="8" t="s">
        <v>1357</v>
      </c>
      <c r="H215" s="8" t="s">
        <v>623</v>
      </c>
      <c r="I215" s="8" t="s">
        <v>1358</v>
      </c>
      <c r="J215" s="8" t="s">
        <v>1189</v>
      </c>
    </row>
    <row r="216" customFormat="false" ht="36" hidden="false" customHeight="true" outlineLevel="0" collapsed="false">
      <c r="A216" s="9" t="s">
        <v>1359</v>
      </c>
      <c r="B216" s="9" t="s">
        <v>1360</v>
      </c>
      <c r="C216" s="9" t="s">
        <v>1200</v>
      </c>
      <c r="D216" s="9" t="s">
        <v>1147</v>
      </c>
      <c r="E216" s="9" t="s">
        <v>1336</v>
      </c>
      <c r="F216" s="9" t="s">
        <v>1361</v>
      </c>
      <c r="G216" s="9" t="s">
        <v>1362</v>
      </c>
      <c r="H216" s="9" t="s">
        <v>623</v>
      </c>
      <c r="I216" s="9" t="s">
        <v>1363</v>
      </c>
      <c r="J216" s="9" t="s">
        <v>1196</v>
      </c>
    </row>
    <row r="217" customFormat="false" ht="36" hidden="false" customHeight="true" outlineLevel="0" collapsed="false">
      <c r="A217" s="8" t="s">
        <v>1364</v>
      </c>
      <c r="B217" s="8" t="s">
        <v>1365</v>
      </c>
      <c r="C217" s="8"/>
      <c r="D217" s="8" t="s">
        <v>1147</v>
      </c>
      <c r="E217" s="8" t="s">
        <v>1366</v>
      </c>
      <c r="F217" s="8" t="s">
        <v>1367</v>
      </c>
      <c r="G217" s="8" t="s">
        <v>1368</v>
      </c>
      <c r="H217" s="8" t="s">
        <v>1369</v>
      </c>
      <c r="I217" s="8" t="s">
        <v>1370</v>
      </c>
      <c r="J217" s="8" t="s">
        <v>1371</v>
      </c>
    </row>
    <row r="218" customFormat="false" ht="36" hidden="false" customHeight="true" outlineLevel="0" collapsed="false">
      <c r="A218" s="9" t="s">
        <v>1372</v>
      </c>
      <c r="B218" s="9" t="s">
        <v>1373</v>
      </c>
      <c r="C218" s="9" t="s">
        <v>1374</v>
      </c>
      <c r="D218" s="9" t="s">
        <v>1147</v>
      </c>
      <c r="E218" s="9" t="s">
        <v>1366</v>
      </c>
      <c r="F218" s="9" t="s">
        <v>1375</v>
      </c>
      <c r="G218" s="9" t="s">
        <v>1376</v>
      </c>
      <c r="H218" s="9" t="s">
        <v>1377</v>
      </c>
      <c r="I218" s="9" t="s">
        <v>1378</v>
      </c>
      <c r="J218" s="9" t="s">
        <v>963</v>
      </c>
    </row>
    <row r="219" customFormat="false" ht="36" hidden="false" customHeight="true" outlineLevel="0" collapsed="false">
      <c r="A219" s="8" t="s">
        <v>1379</v>
      </c>
      <c r="B219" s="8" t="s">
        <v>1380</v>
      </c>
      <c r="C219" s="8" t="s">
        <v>963</v>
      </c>
      <c r="D219" s="8" t="s">
        <v>1147</v>
      </c>
      <c r="E219" s="8" t="s">
        <v>1366</v>
      </c>
      <c r="F219" s="8" t="s">
        <v>1381</v>
      </c>
      <c r="G219" s="8" t="s">
        <v>1382</v>
      </c>
      <c r="H219" s="8" t="s">
        <v>1383</v>
      </c>
      <c r="I219" s="8" t="s">
        <v>1384</v>
      </c>
      <c r="J219" s="8" t="s">
        <v>1374</v>
      </c>
    </row>
    <row r="220" customFormat="false" ht="36" hidden="false" customHeight="true" outlineLevel="0" collapsed="false">
      <c r="A220" s="9" t="s">
        <v>1385</v>
      </c>
      <c r="B220" s="9" t="s">
        <v>1386</v>
      </c>
      <c r="C220" s="9" t="s">
        <v>1386</v>
      </c>
      <c r="D220" s="9" t="s">
        <v>1147</v>
      </c>
      <c r="E220" s="9" t="s">
        <v>1387</v>
      </c>
      <c r="F220" s="9" t="s">
        <v>1388</v>
      </c>
      <c r="G220" s="9" t="s">
        <v>1389</v>
      </c>
      <c r="H220" s="9" t="s">
        <v>66</v>
      </c>
      <c r="I220" s="9" t="s">
        <v>1390</v>
      </c>
      <c r="J220" s="9" t="s">
        <v>1391</v>
      </c>
    </row>
    <row r="221" customFormat="false" ht="36" hidden="false" customHeight="true" outlineLevel="0" collapsed="false">
      <c r="A221" s="8" t="s">
        <v>1392</v>
      </c>
      <c r="B221" s="8" t="s">
        <v>1391</v>
      </c>
      <c r="C221" s="8" t="s">
        <v>1391</v>
      </c>
      <c r="D221" s="8" t="s">
        <v>1147</v>
      </c>
      <c r="E221" s="8" t="s">
        <v>1387</v>
      </c>
      <c r="F221" s="8" t="s">
        <v>1393</v>
      </c>
      <c r="G221" s="8" t="s">
        <v>1394</v>
      </c>
      <c r="H221" s="8" t="s">
        <v>66</v>
      </c>
      <c r="I221" s="8" t="s">
        <v>1395</v>
      </c>
      <c r="J221" s="8" t="s">
        <v>1386</v>
      </c>
    </row>
    <row r="222" customFormat="false" ht="36" hidden="false" customHeight="true" outlineLevel="0" collapsed="false">
      <c r="A222" s="9" t="s">
        <v>1396</v>
      </c>
      <c r="B222" s="9" t="s">
        <v>1397</v>
      </c>
      <c r="C222" s="9" t="s">
        <v>1397</v>
      </c>
      <c r="D222" s="9" t="s">
        <v>1147</v>
      </c>
      <c r="E222" s="9" t="s">
        <v>1387</v>
      </c>
      <c r="F222" s="9" t="s">
        <v>1398</v>
      </c>
      <c r="G222" s="9" t="s">
        <v>1399</v>
      </c>
      <c r="H222" s="9" t="s">
        <v>1400</v>
      </c>
      <c r="I222" s="9" t="s">
        <v>1401</v>
      </c>
      <c r="J222" s="9" t="s">
        <v>1402</v>
      </c>
    </row>
    <row r="223" customFormat="false" ht="36" hidden="false" customHeight="true" outlineLevel="0" collapsed="false">
      <c r="A223" s="8" t="s">
        <v>1403</v>
      </c>
      <c r="B223" s="8" t="s">
        <v>1404</v>
      </c>
      <c r="C223" s="8" t="s">
        <v>1404</v>
      </c>
      <c r="D223" s="8" t="s">
        <v>1404</v>
      </c>
      <c r="E223" s="8" t="s">
        <v>1405</v>
      </c>
      <c r="F223" s="8" t="s">
        <v>1406</v>
      </c>
      <c r="G223" s="8" t="s">
        <v>1407</v>
      </c>
      <c r="H223" s="8" t="s">
        <v>400</v>
      </c>
      <c r="I223" s="8" t="s">
        <v>1408</v>
      </c>
      <c r="J223" s="8" t="s">
        <v>1409</v>
      </c>
    </row>
    <row r="224" customFormat="false" ht="36" hidden="false" customHeight="true" outlineLevel="0" collapsed="false">
      <c r="A224" s="9" t="s">
        <v>1410</v>
      </c>
      <c r="B224" s="9" t="s">
        <v>1411</v>
      </c>
      <c r="C224" s="9" t="s">
        <v>1409</v>
      </c>
      <c r="D224" s="9" t="s">
        <v>1404</v>
      </c>
      <c r="E224" s="9" t="s">
        <v>154</v>
      </c>
      <c r="F224" s="9" t="s">
        <v>1412</v>
      </c>
      <c r="G224" s="9" t="s">
        <v>1413</v>
      </c>
      <c r="H224" s="9" t="s">
        <v>400</v>
      </c>
      <c r="I224" s="9" t="s">
        <v>1414</v>
      </c>
      <c r="J224" s="9" t="s">
        <v>1415</v>
      </c>
    </row>
    <row r="225" customFormat="false" ht="36" hidden="false" customHeight="true" outlineLevel="0" collapsed="false">
      <c r="A225" s="8" t="s">
        <v>1416</v>
      </c>
      <c r="B225" s="8" t="s">
        <v>1417</v>
      </c>
      <c r="C225" s="8" t="s">
        <v>1415</v>
      </c>
      <c r="D225" s="8" t="s">
        <v>1404</v>
      </c>
      <c r="E225" s="8" t="s">
        <v>1418</v>
      </c>
      <c r="F225" s="8" t="s">
        <v>1419</v>
      </c>
      <c r="G225" s="8" t="s">
        <v>1420</v>
      </c>
      <c r="H225" s="8" t="s">
        <v>400</v>
      </c>
      <c r="I225" s="8" t="s">
        <v>1421</v>
      </c>
      <c r="J225" s="8" t="s">
        <v>1422</v>
      </c>
    </row>
    <row r="226" customFormat="false" ht="36" hidden="false" customHeight="true" outlineLevel="0" collapsed="false">
      <c r="A226" s="9" t="s">
        <v>1423</v>
      </c>
      <c r="B226" s="9" t="s">
        <v>1424</v>
      </c>
      <c r="C226" s="9" t="s">
        <v>1425</v>
      </c>
      <c r="D226" s="9" t="s">
        <v>1404</v>
      </c>
      <c r="E226" s="9" t="s">
        <v>1426</v>
      </c>
      <c r="F226" s="9" t="s">
        <v>1427</v>
      </c>
      <c r="G226" s="9" t="s">
        <v>1428</v>
      </c>
      <c r="H226" s="9" t="s">
        <v>400</v>
      </c>
      <c r="I226" s="9" t="s">
        <v>1429</v>
      </c>
      <c r="J226" s="9" t="s">
        <v>1430</v>
      </c>
    </row>
    <row r="227" customFormat="false" ht="36" hidden="false" customHeight="true" outlineLevel="0" collapsed="false">
      <c r="A227" s="8" t="s">
        <v>1431</v>
      </c>
      <c r="B227" s="8" t="s">
        <v>1432</v>
      </c>
      <c r="C227" s="8" t="s">
        <v>1433</v>
      </c>
      <c r="D227" s="8" t="s">
        <v>1404</v>
      </c>
      <c r="E227" s="8" t="s">
        <v>1434</v>
      </c>
      <c r="F227" s="8" t="s">
        <v>1435</v>
      </c>
      <c r="G227" s="8" t="s">
        <v>1436</v>
      </c>
      <c r="H227" s="8" t="s">
        <v>400</v>
      </c>
      <c r="I227" s="8" t="s">
        <v>1437</v>
      </c>
      <c r="J227" s="8" t="s">
        <v>1415</v>
      </c>
    </row>
    <row r="228" customFormat="false" ht="36" hidden="false" customHeight="true" outlineLevel="0" collapsed="false">
      <c r="A228" s="9" t="s">
        <v>1438</v>
      </c>
      <c r="B228" s="9" t="s">
        <v>1439</v>
      </c>
      <c r="C228" s="9" t="s">
        <v>408</v>
      </c>
      <c r="D228" s="9" t="s">
        <v>1404</v>
      </c>
      <c r="E228" s="9" t="s">
        <v>1440</v>
      </c>
      <c r="F228" s="9" t="s">
        <v>1441</v>
      </c>
      <c r="G228" s="9" t="s">
        <v>1442</v>
      </c>
      <c r="H228" s="9" t="s">
        <v>400</v>
      </c>
      <c r="I228" s="9" t="s">
        <v>1443</v>
      </c>
      <c r="J228" s="9" t="s">
        <v>1444</v>
      </c>
    </row>
    <row r="229" customFormat="false" ht="36" hidden="false" customHeight="true" outlineLevel="0" collapsed="false">
      <c r="A229" s="8" t="s">
        <v>1445</v>
      </c>
      <c r="B229" s="8" t="s">
        <v>1446</v>
      </c>
      <c r="C229" s="8" t="s">
        <v>1444</v>
      </c>
      <c r="D229" s="8" t="s">
        <v>1404</v>
      </c>
      <c r="E229" s="8" t="s">
        <v>1440</v>
      </c>
      <c r="F229" s="8" t="s">
        <v>1447</v>
      </c>
      <c r="G229" s="8" t="s">
        <v>1448</v>
      </c>
      <c r="H229" s="8" t="s">
        <v>400</v>
      </c>
      <c r="I229" s="8" t="s">
        <v>1449</v>
      </c>
      <c r="J229" s="8" t="s">
        <v>1450</v>
      </c>
    </row>
    <row r="230" customFormat="false" ht="36" hidden="false" customHeight="true" outlineLevel="0" collapsed="false">
      <c r="A230" s="9" t="s">
        <v>1451</v>
      </c>
      <c r="B230" s="9" t="s">
        <v>1452</v>
      </c>
      <c r="C230" s="9" t="s">
        <v>1450</v>
      </c>
      <c r="D230" s="9" t="s">
        <v>1404</v>
      </c>
      <c r="E230" s="9" t="s">
        <v>1440</v>
      </c>
      <c r="F230" s="9" t="s">
        <v>1453</v>
      </c>
      <c r="G230" s="9" t="s">
        <v>1454</v>
      </c>
      <c r="H230" s="9" t="s">
        <v>400</v>
      </c>
      <c r="I230" s="9" t="s">
        <v>1455</v>
      </c>
      <c r="J230" s="9" t="s">
        <v>1456</v>
      </c>
    </row>
    <row r="231" customFormat="false" ht="36" hidden="false" customHeight="true" outlineLevel="0" collapsed="false">
      <c r="A231" s="8" t="s">
        <v>1457</v>
      </c>
      <c r="B231" s="8" t="s">
        <v>1458</v>
      </c>
      <c r="C231" s="8" t="s">
        <v>1456</v>
      </c>
      <c r="D231" s="8" t="s">
        <v>1404</v>
      </c>
      <c r="E231" s="8" t="s">
        <v>1440</v>
      </c>
      <c r="F231" s="8" t="s">
        <v>1459</v>
      </c>
      <c r="G231" s="8" t="s">
        <v>1460</v>
      </c>
      <c r="H231" s="8" t="s">
        <v>400</v>
      </c>
      <c r="I231" s="8" t="s">
        <v>1461</v>
      </c>
      <c r="J231" s="8" t="s">
        <v>1462</v>
      </c>
    </row>
    <row r="232" customFormat="false" ht="36" hidden="false" customHeight="true" outlineLevel="0" collapsed="false">
      <c r="A232" s="9" t="s">
        <v>1463</v>
      </c>
      <c r="B232" s="9" t="s">
        <v>1464</v>
      </c>
      <c r="C232" s="9" t="s">
        <v>1465</v>
      </c>
      <c r="D232" s="9" t="s">
        <v>1404</v>
      </c>
      <c r="E232" s="9" t="s">
        <v>1440</v>
      </c>
      <c r="F232" s="9" t="s">
        <v>1466</v>
      </c>
      <c r="G232" s="9" t="s">
        <v>1467</v>
      </c>
      <c r="H232" s="9" t="s">
        <v>400</v>
      </c>
      <c r="I232" s="9" t="s">
        <v>1468</v>
      </c>
      <c r="J232" s="9" t="s">
        <v>455</v>
      </c>
    </row>
    <row r="233" customFormat="false" ht="36" hidden="false" customHeight="true" outlineLevel="0" collapsed="false">
      <c r="A233" s="8" t="s">
        <v>1469</v>
      </c>
      <c r="B233" s="8" t="s">
        <v>1470</v>
      </c>
      <c r="C233" s="8" t="s">
        <v>1471</v>
      </c>
      <c r="D233" s="8" t="s">
        <v>1404</v>
      </c>
      <c r="E233" s="8" t="s">
        <v>333</v>
      </c>
      <c r="F233" s="8" t="s">
        <v>1472</v>
      </c>
      <c r="G233" s="8" t="s">
        <v>1473</v>
      </c>
      <c r="H233" s="8" t="s">
        <v>1474</v>
      </c>
      <c r="I233" s="8" t="s">
        <v>1475</v>
      </c>
      <c r="J233" s="8" t="s">
        <v>1476</v>
      </c>
    </row>
    <row r="234" customFormat="false" ht="36" hidden="false" customHeight="true" outlineLevel="0" collapsed="false">
      <c r="A234" s="9" t="s">
        <v>1477</v>
      </c>
      <c r="B234" s="9" t="s">
        <v>1478</v>
      </c>
      <c r="C234" s="9" t="s">
        <v>1479</v>
      </c>
      <c r="D234" s="9" t="s">
        <v>1404</v>
      </c>
      <c r="E234" s="9" t="s">
        <v>333</v>
      </c>
      <c r="F234" s="9" t="s">
        <v>1480</v>
      </c>
      <c r="G234" s="9" t="s">
        <v>1481</v>
      </c>
      <c r="H234" s="9" t="s">
        <v>1474</v>
      </c>
      <c r="I234" s="9" t="s">
        <v>1482</v>
      </c>
      <c r="J234" s="9" t="s">
        <v>1483</v>
      </c>
    </row>
    <row r="235" customFormat="false" ht="36" hidden="false" customHeight="true" outlineLevel="0" collapsed="false">
      <c r="A235" s="8" t="s">
        <v>1484</v>
      </c>
      <c r="B235" s="8" t="s">
        <v>1485</v>
      </c>
      <c r="C235" s="8" t="s">
        <v>1486</v>
      </c>
      <c r="D235" s="8" t="s">
        <v>1404</v>
      </c>
      <c r="E235" s="8" t="s">
        <v>333</v>
      </c>
      <c r="F235" s="8" t="s">
        <v>1487</v>
      </c>
      <c r="G235" s="8" t="s">
        <v>1488</v>
      </c>
      <c r="H235" s="8" t="s">
        <v>400</v>
      </c>
      <c r="I235" s="8" t="s">
        <v>1489</v>
      </c>
      <c r="J235" s="8" t="s">
        <v>1490</v>
      </c>
    </row>
    <row r="236" customFormat="false" ht="36" hidden="false" customHeight="true" outlineLevel="0" collapsed="false">
      <c r="A236" s="9" t="s">
        <v>1491</v>
      </c>
      <c r="B236" s="9" t="s">
        <v>1492</v>
      </c>
      <c r="C236" s="9" t="s">
        <v>1483</v>
      </c>
      <c r="D236" s="9" t="s">
        <v>1404</v>
      </c>
      <c r="E236" s="9" t="s">
        <v>1493</v>
      </c>
      <c r="F236" s="9" t="s">
        <v>1494</v>
      </c>
      <c r="G236" s="9" t="s">
        <v>1495</v>
      </c>
      <c r="H236" s="9" t="s">
        <v>400</v>
      </c>
      <c r="I236" s="9" t="s">
        <v>1496</v>
      </c>
      <c r="J236" s="9" t="s">
        <v>1497</v>
      </c>
    </row>
    <row r="237" customFormat="false" ht="36" hidden="false" customHeight="true" outlineLevel="0" collapsed="false">
      <c r="A237" s="8" t="s">
        <v>1498</v>
      </c>
      <c r="B237" s="8" t="s">
        <v>1499</v>
      </c>
      <c r="C237" s="8" t="s">
        <v>1500</v>
      </c>
      <c r="D237" s="8" t="s">
        <v>1404</v>
      </c>
      <c r="E237" s="8" t="s">
        <v>1418</v>
      </c>
      <c r="F237" s="8" t="s">
        <v>1501</v>
      </c>
      <c r="G237" s="8" t="s">
        <v>1502</v>
      </c>
      <c r="H237" s="8" t="s">
        <v>1503</v>
      </c>
      <c r="I237" s="8" t="s">
        <v>1504</v>
      </c>
      <c r="J237" s="8" t="s">
        <v>1505</v>
      </c>
    </row>
    <row r="238" customFormat="false" ht="36" hidden="false" customHeight="true" outlineLevel="0" collapsed="false">
      <c r="A238" s="9" t="s">
        <v>1506</v>
      </c>
      <c r="B238" s="9" t="s">
        <v>1507</v>
      </c>
      <c r="C238" s="9" t="s">
        <v>1508</v>
      </c>
      <c r="D238" s="9" t="s">
        <v>1404</v>
      </c>
      <c r="E238" s="9" t="s">
        <v>1418</v>
      </c>
      <c r="F238" s="9" t="s">
        <v>1509</v>
      </c>
      <c r="G238" s="9" t="s">
        <v>1510</v>
      </c>
      <c r="H238" s="9" t="s">
        <v>1511</v>
      </c>
      <c r="I238" s="9" t="s">
        <v>1512</v>
      </c>
      <c r="J238" s="9" t="s">
        <v>1513</v>
      </c>
    </row>
    <row r="239" customFormat="false" ht="36" hidden="false" customHeight="true" outlineLevel="0" collapsed="false">
      <c r="A239" s="8" t="s">
        <v>1514</v>
      </c>
      <c r="B239" s="8" t="s">
        <v>1515</v>
      </c>
      <c r="C239" s="8" t="s">
        <v>1516</v>
      </c>
      <c r="D239" s="8" t="s">
        <v>1404</v>
      </c>
      <c r="E239" s="8" t="s">
        <v>1418</v>
      </c>
      <c r="F239" s="8" t="s">
        <v>1517</v>
      </c>
      <c r="G239" s="8" t="s">
        <v>1518</v>
      </c>
      <c r="H239" s="8" t="s">
        <v>1503</v>
      </c>
      <c r="I239" s="8" t="s">
        <v>1519</v>
      </c>
      <c r="J239" s="8" t="s">
        <v>1520</v>
      </c>
    </row>
    <row r="240" customFormat="false" ht="36" hidden="false" customHeight="true" outlineLevel="0" collapsed="false">
      <c r="A240" s="9" t="s">
        <v>1521</v>
      </c>
      <c r="B240" s="9" t="s">
        <v>1522</v>
      </c>
      <c r="C240" s="9" t="s">
        <v>1523</v>
      </c>
      <c r="D240" s="9" t="s">
        <v>1404</v>
      </c>
      <c r="E240" s="9" t="s">
        <v>333</v>
      </c>
      <c r="F240" s="9" t="s">
        <v>1524</v>
      </c>
      <c r="G240" s="9" t="s">
        <v>1525</v>
      </c>
      <c r="H240" s="9" t="s">
        <v>1526</v>
      </c>
      <c r="I240" s="9" t="s">
        <v>1527</v>
      </c>
      <c r="J240" s="9" t="s">
        <v>1248</v>
      </c>
    </row>
    <row r="241" customFormat="false" ht="36" hidden="false" customHeight="true" outlineLevel="0" collapsed="false">
      <c r="A241" s="8" t="s">
        <v>1528</v>
      </c>
      <c r="B241" s="8" t="s">
        <v>1529</v>
      </c>
      <c r="C241" s="8" t="s">
        <v>1530</v>
      </c>
      <c r="D241" s="8" t="s">
        <v>1404</v>
      </c>
      <c r="E241" s="8" t="s">
        <v>333</v>
      </c>
      <c r="F241" s="8" t="s">
        <v>1531</v>
      </c>
      <c r="G241" s="8" t="s">
        <v>1532</v>
      </c>
      <c r="H241" s="8" t="s">
        <v>1511</v>
      </c>
      <c r="I241" s="8" t="s">
        <v>1533</v>
      </c>
      <c r="J241" s="8" t="s">
        <v>476</v>
      </c>
    </row>
    <row r="242" customFormat="false" ht="36" hidden="false" customHeight="true" outlineLevel="0" collapsed="false">
      <c r="A242" s="9" t="s">
        <v>1534</v>
      </c>
      <c r="B242" s="9" t="s">
        <v>1535</v>
      </c>
      <c r="C242" s="9" t="s">
        <v>1536</v>
      </c>
      <c r="D242" s="9" t="s">
        <v>1404</v>
      </c>
      <c r="E242" s="9" t="s">
        <v>333</v>
      </c>
      <c r="F242" s="9" t="s">
        <v>1537</v>
      </c>
      <c r="G242" s="9" t="s">
        <v>1538</v>
      </c>
      <c r="H242" s="9" t="s">
        <v>1511</v>
      </c>
      <c r="I242" s="9" t="s">
        <v>1539</v>
      </c>
      <c r="J242" s="9" t="s">
        <v>476</v>
      </c>
    </row>
    <row r="243" customFormat="false" ht="36" hidden="false" customHeight="true" outlineLevel="0" collapsed="false">
      <c r="A243" s="8" t="s">
        <v>1540</v>
      </c>
      <c r="B243" s="8" t="s">
        <v>1541</v>
      </c>
      <c r="C243" s="8" t="s">
        <v>1462</v>
      </c>
      <c r="D243" s="8" t="s">
        <v>1404</v>
      </c>
      <c r="E243" s="8" t="s">
        <v>1505</v>
      </c>
      <c r="F243" s="8" t="s">
        <v>1542</v>
      </c>
      <c r="G243" s="8" t="s">
        <v>1543</v>
      </c>
      <c r="H243" s="8" t="s">
        <v>238</v>
      </c>
      <c r="I243" s="8" t="s">
        <v>1544</v>
      </c>
      <c r="J243" s="8" t="s">
        <v>1545</v>
      </c>
    </row>
    <row r="244" customFormat="false" ht="36" hidden="false" customHeight="true" outlineLevel="0" collapsed="false">
      <c r="A244" s="9" t="s">
        <v>1546</v>
      </c>
      <c r="B244" s="9" t="s">
        <v>1547</v>
      </c>
      <c r="C244" s="9" t="s">
        <v>1548</v>
      </c>
      <c r="D244" s="9" t="s">
        <v>1404</v>
      </c>
      <c r="E244" s="9" t="s">
        <v>1505</v>
      </c>
      <c r="F244" s="9" t="s">
        <v>1549</v>
      </c>
      <c r="G244" s="9" t="s">
        <v>1550</v>
      </c>
      <c r="H244" s="9" t="s">
        <v>238</v>
      </c>
      <c r="I244" s="9" t="s">
        <v>1551</v>
      </c>
      <c r="J244" s="9" t="s">
        <v>1462</v>
      </c>
    </row>
    <row r="245" customFormat="false" ht="36" hidden="false" customHeight="true" outlineLevel="0" collapsed="false">
      <c r="A245" s="8" t="s">
        <v>1552</v>
      </c>
      <c r="B245" s="8" t="s">
        <v>1553</v>
      </c>
      <c r="C245" s="8" t="s">
        <v>1545</v>
      </c>
      <c r="D245" s="8" t="s">
        <v>1404</v>
      </c>
      <c r="E245" s="8" t="s">
        <v>1505</v>
      </c>
      <c r="F245" s="8" t="s">
        <v>1554</v>
      </c>
      <c r="G245" s="8" t="s">
        <v>1555</v>
      </c>
      <c r="H245" s="8" t="s">
        <v>400</v>
      </c>
      <c r="I245" s="8" t="s">
        <v>1556</v>
      </c>
      <c r="J245" s="8" t="s">
        <v>1462</v>
      </c>
    </row>
    <row r="246" customFormat="false" ht="36" hidden="false" customHeight="true" outlineLevel="0" collapsed="false">
      <c r="A246" s="9" t="s">
        <v>1557</v>
      </c>
      <c r="B246" s="9" t="s">
        <v>1558</v>
      </c>
      <c r="C246" s="9" t="s">
        <v>1559</v>
      </c>
      <c r="D246" s="9" t="s">
        <v>1404</v>
      </c>
      <c r="E246" s="9" t="s">
        <v>1560</v>
      </c>
      <c r="F246" s="9" t="s">
        <v>1561</v>
      </c>
      <c r="G246" s="9" t="s">
        <v>1562</v>
      </c>
      <c r="H246" s="9" t="s">
        <v>400</v>
      </c>
      <c r="I246" s="9" t="s">
        <v>1563</v>
      </c>
      <c r="J246" s="9" t="s">
        <v>1564</v>
      </c>
    </row>
    <row r="247" customFormat="false" ht="36" hidden="false" customHeight="true" outlineLevel="0" collapsed="false">
      <c r="A247" s="8" t="s">
        <v>1565</v>
      </c>
      <c r="B247" s="8" t="s">
        <v>1566</v>
      </c>
      <c r="C247" s="8"/>
      <c r="D247" s="8" t="s">
        <v>1404</v>
      </c>
      <c r="E247" s="8" t="s">
        <v>1560</v>
      </c>
      <c r="F247" s="8" t="s">
        <v>1567</v>
      </c>
      <c r="G247" s="8" t="s">
        <v>1568</v>
      </c>
      <c r="H247" s="8" t="s">
        <v>400</v>
      </c>
      <c r="I247" s="8" t="s">
        <v>1569</v>
      </c>
      <c r="J247" s="8" t="s">
        <v>1559</v>
      </c>
    </row>
    <row r="248" customFormat="false" ht="36" hidden="false" customHeight="true" outlineLevel="0" collapsed="false">
      <c r="A248" s="9" t="s">
        <v>1570</v>
      </c>
      <c r="B248" s="9" t="s">
        <v>1571</v>
      </c>
      <c r="C248" s="9"/>
      <c r="D248" s="9" t="s">
        <v>1404</v>
      </c>
      <c r="E248" s="9" t="s">
        <v>1560</v>
      </c>
      <c r="F248" s="9" t="s">
        <v>1572</v>
      </c>
      <c r="G248" s="9" t="s">
        <v>1573</v>
      </c>
      <c r="H248" s="9" t="s">
        <v>400</v>
      </c>
      <c r="I248" s="9" t="s">
        <v>1574</v>
      </c>
      <c r="J248" s="9" t="s">
        <v>397</v>
      </c>
    </row>
    <row r="249" customFormat="false" ht="36" hidden="false" customHeight="true" outlineLevel="0" collapsed="false">
      <c r="A249" s="8" t="s">
        <v>1575</v>
      </c>
      <c r="B249" s="8" t="s">
        <v>1576</v>
      </c>
      <c r="C249" s="8"/>
      <c r="D249" s="8" t="s">
        <v>1404</v>
      </c>
      <c r="E249" s="8" t="s">
        <v>397</v>
      </c>
      <c r="F249" s="8" t="s">
        <v>1577</v>
      </c>
      <c r="G249" s="8" t="s">
        <v>1578</v>
      </c>
      <c r="H249" s="8" t="s">
        <v>1579</v>
      </c>
      <c r="I249" s="8" t="s">
        <v>1580</v>
      </c>
      <c r="J249" s="8" t="s">
        <v>1581</v>
      </c>
    </row>
    <row r="250" customFormat="false" ht="36" hidden="false" customHeight="true" outlineLevel="0" collapsed="false">
      <c r="A250" s="9" t="s">
        <v>1582</v>
      </c>
      <c r="B250" s="9" t="s">
        <v>1583</v>
      </c>
      <c r="C250" s="9"/>
      <c r="D250" s="9" t="s">
        <v>1404</v>
      </c>
      <c r="E250" s="9" t="s">
        <v>1584</v>
      </c>
      <c r="F250" s="9" t="s">
        <v>1585</v>
      </c>
      <c r="G250" s="9" t="s">
        <v>1586</v>
      </c>
      <c r="H250" s="9" t="s">
        <v>400</v>
      </c>
      <c r="I250" s="9" t="s">
        <v>1587</v>
      </c>
      <c r="J250" s="9" t="s">
        <v>1588</v>
      </c>
    </row>
    <row r="251" customFormat="false" ht="36" hidden="false" customHeight="true" outlineLevel="0" collapsed="false">
      <c r="A251" s="8" t="s">
        <v>1589</v>
      </c>
      <c r="B251" s="8" t="s">
        <v>1590</v>
      </c>
      <c r="C251" s="8"/>
      <c r="D251" s="8" t="s">
        <v>1404</v>
      </c>
      <c r="E251" s="8" t="s">
        <v>1584</v>
      </c>
      <c r="F251" s="8" t="s">
        <v>1591</v>
      </c>
      <c r="G251" s="8" t="s">
        <v>1592</v>
      </c>
      <c r="H251" s="8" t="s">
        <v>400</v>
      </c>
      <c r="I251" s="8" t="s">
        <v>1593</v>
      </c>
      <c r="J251" s="8" t="s">
        <v>1594</v>
      </c>
    </row>
    <row r="252" customFormat="false" ht="36" hidden="false" customHeight="true" outlineLevel="0" collapsed="false">
      <c r="A252" s="9" t="s">
        <v>1595</v>
      </c>
      <c r="B252" s="9" t="s">
        <v>1596</v>
      </c>
      <c r="C252" s="9" t="s">
        <v>1594</v>
      </c>
      <c r="D252" s="9" t="s">
        <v>1404</v>
      </c>
      <c r="E252" s="9" t="s">
        <v>1584</v>
      </c>
      <c r="F252" s="9" t="s">
        <v>1597</v>
      </c>
      <c r="G252" s="9" t="s">
        <v>1598</v>
      </c>
      <c r="H252" s="9" t="s">
        <v>400</v>
      </c>
      <c r="I252" s="9" t="s">
        <v>1599</v>
      </c>
      <c r="J252" s="9" t="s">
        <v>1486</v>
      </c>
    </row>
    <row r="253" customFormat="false" ht="36" hidden="false" customHeight="true" outlineLevel="0" collapsed="false">
      <c r="A253" s="8" t="s">
        <v>1600</v>
      </c>
      <c r="B253" s="8" t="s">
        <v>1601</v>
      </c>
      <c r="C253" s="8" t="s">
        <v>1430</v>
      </c>
      <c r="D253" s="8" t="s">
        <v>1404</v>
      </c>
      <c r="E253" s="8" t="s">
        <v>1426</v>
      </c>
      <c r="F253" s="8" t="s">
        <v>1602</v>
      </c>
      <c r="G253" s="8" t="s">
        <v>1603</v>
      </c>
      <c r="H253" s="8" t="s">
        <v>400</v>
      </c>
      <c r="I253" s="8" t="s">
        <v>1604</v>
      </c>
      <c r="J253" s="8" t="s">
        <v>1425</v>
      </c>
    </row>
    <row r="254" customFormat="false" ht="36" hidden="false" customHeight="true" outlineLevel="0" collapsed="false">
      <c r="A254" s="9" t="s">
        <v>1605</v>
      </c>
      <c r="B254" s="9" t="s">
        <v>1606</v>
      </c>
      <c r="C254" s="9"/>
      <c r="D254" s="9" t="s">
        <v>1404</v>
      </c>
      <c r="E254" s="9" t="s">
        <v>1426</v>
      </c>
      <c r="F254" s="9" t="s">
        <v>1607</v>
      </c>
      <c r="G254" s="9" t="s">
        <v>1608</v>
      </c>
      <c r="H254" s="9" t="s">
        <v>400</v>
      </c>
      <c r="I254" s="9" t="s">
        <v>1609</v>
      </c>
      <c r="J254" s="9" t="s">
        <v>1425</v>
      </c>
    </row>
    <row r="255" customFormat="false" ht="36" hidden="false" customHeight="true" outlineLevel="0" collapsed="false">
      <c r="A255" s="8" t="s">
        <v>1610</v>
      </c>
      <c r="B255" s="8" t="s">
        <v>1611</v>
      </c>
      <c r="C255" s="8"/>
      <c r="D255" s="8" t="s">
        <v>1404</v>
      </c>
      <c r="E255" s="8" t="s">
        <v>1426</v>
      </c>
      <c r="F255" s="8" t="s">
        <v>1612</v>
      </c>
      <c r="G255" s="8" t="s">
        <v>1613</v>
      </c>
      <c r="H255" s="8" t="s">
        <v>400</v>
      </c>
      <c r="I255" s="8" t="s">
        <v>1614</v>
      </c>
      <c r="J255" s="8" t="s">
        <v>1430</v>
      </c>
    </row>
    <row r="256" customFormat="false" ht="36" hidden="false" customHeight="true" outlineLevel="0" collapsed="false">
      <c r="A256" s="9" t="s">
        <v>1615</v>
      </c>
      <c r="B256" s="9" t="s">
        <v>1616</v>
      </c>
      <c r="C256" s="9"/>
      <c r="D256" s="9" t="s">
        <v>1404</v>
      </c>
      <c r="E256" s="9" t="s">
        <v>1426</v>
      </c>
      <c r="F256" s="9" t="s">
        <v>1617</v>
      </c>
      <c r="G256" s="9" t="s">
        <v>1618</v>
      </c>
      <c r="H256" s="9" t="s">
        <v>400</v>
      </c>
      <c r="I256" s="9" t="s">
        <v>1619</v>
      </c>
      <c r="J256" s="9" t="s">
        <v>631</v>
      </c>
    </row>
    <row r="257" customFormat="false" ht="36" hidden="false" customHeight="true" outlineLevel="0" collapsed="false">
      <c r="A257" s="8" t="s">
        <v>1620</v>
      </c>
      <c r="B257" s="8" t="s">
        <v>1621</v>
      </c>
      <c r="C257" s="8" t="s">
        <v>1622</v>
      </c>
      <c r="D257" s="8" t="s">
        <v>1404</v>
      </c>
      <c r="E257" s="8" t="s">
        <v>1584</v>
      </c>
      <c r="F257" s="8" t="s">
        <v>1623</v>
      </c>
      <c r="G257" s="8" t="s">
        <v>1624</v>
      </c>
      <c r="H257" s="8" t="s">
        <v>1625</v>
      </c>
      <c r="I257" s="8" t="s">
        <v>1626</v>
      </c>
      <c r="J257" s="8" t="s">
        <v>1627</v>
      </c>
    </row>
    <row r="258" customFormat="false" ht="36" hidden="false" customHeight="true" outlineLevel="0" collapsed="false">
      <c r="A258" s="9" t="s">
        <v>1628</v>
      </c>
      <c r="B258" s="9" t="s">
        <v>1629</v>
      </c>
      <c r="C258" s="9" t="s">
        <v>1627</v>
      </c>
      <c r="D258" s="9" t="s">
        <v>1404</v>
      </c>
      <c r="E258" s="9" t="s">
        <v>1584</v>
      </c>
      <c r="F258" s="9" t="s">
        <v>1630</v>
      </c>
      <c r="G258" s="9" t="s">
        <v>1631</v>
      </c>
      <c r="H258" s="9" t="s">
        <v>1632</v>
      </c>
      <c r="I258" s="9" t="s">
        <v>1633</v>
      </c>
      <c r="J258" s="9" t="s">
        <v>1634</v>
      </c>
    </row>
    <row r="259" customFormat="false" ht="36" hidden="false" customHeight="true" outlineLevel="0" collapsed="false">
      <c r="A259" s="8" t="s">
        <v>1635</v>
      </c>
      <c r="B259" s="8" t="s">
        <v>1636</v>
      </c>
      <c r="C259" s="8" t="s">
        <v>1634</v>
      </c>
      <c r="D259" s="8" t="s">
        <v>1404</v>
      </c>
      <c r="E259" s="8" t="s">
        <v>485</v>
      </c>
      <c r="F259" s="8" t="s">
        <v>1637</v>
      </c>
      <c r="G259" s="8" t="s">
        <v>1638</v>
      </c>
      <c r="H259" s="8" t="s">
        <v>400</v>
      </c>
      <c r="I259" s="8" t="s">
        <v>1639</v>
      </c>
      <c r="J259" s="8" t="s">
        <v>1627</v>
      </c>
    </row>
    <row r="260" customFormat="false" ht="36" hidden="false" customHeight="true" outlineLevel="0" collapsed="false">
      <c r="A260" s="9" t="s">
        <v>1640</v>
      </c>
      <c r="B260" s="9" t="s">
        <v>1641</v>
      </c>
      <c r="C260" s="9"/>
      <c r="D260" s="9" t="s">
        <v>1404</v>
      </c>
      <c r="E260" s="9" t="s">
        <v>1418</v>
      </c>
      <c r="F260" s="9" t="s">
        <v>1642</v>
      </c>
      <c r="G260" s="9" t="s">
        <v>1643</v>
      </c>
      <c r="H260" s="9" t="s">
        <v>400</v>
      </c>
      <c r="I260" s="9" t="s">
        <v>1644</v>
      </c>
      <c r="J260" s="9" t="s">
        <v>1645</v>
      </c>
    </row>
    <row r="261" customFormat="false" ht="36" hidden="false" customHeight="true" outlineLevel="0" collapsed="false">
      <c r="A261" s="8" t="s">
        <v>1646</v>
      </c>
      <c r="B261" s="8" t="s">
        <v>1647</v>
      </c>
      <c r="C261" s="8"/>
      <c r="D261" s="8" t="s">
        <v>1404</v>
      </c>
      <c r="E261" s="8" t="s">
        <v>1418</v>
      </c>
      <c r="F261" s="8" t="s">
        <v>1648</v>
      </c>
      <c r="G261" s="8" t="s">
        <v>1649</v>
      </c>
      <c r="H261" s="8" t="s">
        <v>400</v>
      </c>
      <c r="I261" s="8" t="s">
        <v>1650</v>
      </c>
      <c r="J261" s="8" t="s">
        <v>1415</v>
      </c>
    </row>
    <row r="262" customFormat="false" ht="36" hidden="false" customHeight="true" outlineLevel="0" collapsed="false">
      <c r="A262" s="9" t="s">
        <v>1651</v>
      </c>
      <c r="B262" s="9" t="s">
        <v>1652</v>
      </c>
      <c r="C262" s="9" t="s">
        <v>1653</v>
      </c>
      <c r="D262" s="9" t="s">
        <v>1404</v>
      </c>
      <c r="E262" s="9" t="s">
        <v>730</v>
      </c>
      <c r="F262" s="9" t="s">
        <v>1654</v>
      </c>
      <c r="G262" s="9" t="s">
        <v>1655</v>
      </c>
      <c r="H262" s="9" t="s">
        <v>1656</v>
      </c>
      <c r="I262" s="9" t="s">
        <v>1657</v>
      </c>
      <c r="J262" s="9" t="s">
        <v>873</v>
      </c>
    </row>
    <row r="263" customFormat="false" ht="36" hidden="false" customHeight="true" outlineLevel="0" collapsed="false">
      <c r="A263" s="8" t="s">
        <v>1658</v>
      </c>
      <c r="B263" s="8" t="s">
        <v>1659</v>
      </c>
      <c r="C263" s="8" t="s">
        <v>1520</v>
      </c>
      <c r="D263" s="8" t="s">
        <v>1404</v>
      </c>
      <c r="E263" s="8" t="s">
        <v>730</v>
      </c>
      <c r="F263" s="8" t="s">
        <v>1660</v>
      </c>
      <c r="G263" s="8" t="s">
        <v>1661</v>
      </c>
      <c r="H263" s="8" t="s">
        <v>400</v>
      </c>
      <c r="I263" s="8" t="s">
        <v>1662</v>
      </c>
      <c r="J263" s="8" t="s">
        <v>1663</v>
      </c>
    </row>
    <row r="264" customFormat="false" ht="36" hidden="false" customHeight="true" outlineLevel="0" collapsed="false">
      <c r="A264" s="9" t="s">
        <v>1664</v>
      </c>
      <c r="B264" s="9" t="s">
        <v>1665</v>
      </c>
      <c r="C264" s="9" t="s">
        <v>1666</v>
      </c>
      <c r="D264" s="9" t="s">
        <v>1404</v>
      </c>
      <c r="E264" s="9" t="s">
        <v>730</v>
      </c>
      <c r="F264" s="9" t="s">
        <v>1667</v>
      </c>
      <c r="G264" s="9" t="s">
        <v>1668</v>
      </c>
      <c r="H264" s="9" t="s">
        <v>1656</v>
      </c>
      <c r="I264" s="9" t="s">
        <v>1669</v>
      </c>
      <c r="J264" s="9" t="s">
        <v>1670</v>
      </c>
    </row>
    <row r="265" customFormat="false" ht="36" hidden="false" customHeight="true" outlineLevel="0" collapsed="false">
      <c r="A265" s="8" t="s">
        <v>1671</v>
      </c>
      <c r="B265" s="8" t="s">
        <v>1663</v>
      </c>
      <c r="C265" s="8" t="s">
        <v>1663</v>
      </c>
      <c r="D265" s="8" t="s">
        <v>1404</v>
      </c>
      <c r="E265" s="8" t="s">
        <v>730</v>
      </c>
      <c r="F265" s="8" t="s">
        <v>1672</v>
      </c>
      <c r="G265" s="8" t="s">
        <v>1673</v>
      </c>
      <c r="H265" s="8" t="s">
        <v>400</v>
      </c>
      <c r="I265" s="8" t="s">
        <v>1674</v>
      </c>
      <c r="J265" s="8" t="s">
        <v>1675</v>
      </c>
    </row>
    <row r="266" customFormat="false" ht="36" hidden="false" customHeight="true" outlineLevel="0" collapsed="false">
      <c r="A266" s="9" t="s">
        <v>1676</v>
      </c>
      <c r="B266" s="9" t="s">
        <v>1677</v>
      </c>
      <c r="C266" s="9" t="s">
        <v>1678</v>
      </c>
      <c r="D266" s="9" t="s">
        <v>1404</v>
      </c>
      <c r="E266" s="9" t="s">
        <v>730</v>
      </c>
      <c r="F266" s="9" t="s">
        <v>1679</v>
      </c>
      <c r="G266" s="9" t="s">
        <v>1680</v>
      </c>
      <c r="H266" s="9" t="s">
        <v>1681</v>
      </c>
      <c r="I266" s="9" t="s">
        <v>1682</v>
      </c>
      <c r="J266" s="9" t="s">
        <v>1683</v>
      </c>
    </row>
    <row r="267" customFormat="false" ht="36" hidden="false" customHeight="true" outlineLevel="0" collapsed="false">
      <c r="A267" s="8" t="s">
        <v>1684</v>
      </c>
      <c r="B267" s="8" t="s">
        <v>1685</v>
      </c>
      <c r="C267" s="8"/>
      <c r="D267" s="8" t="s">
        <v>1404</v>
      </c>
      <c r="E267" s="8" t="s">
        <v>730</v>
      </c>
      <c r="F267" s="8" t="s">
        <v>1686</v>
      </c>
      <c r="G267" s="8" t="s">
        <v>1687</v>
      </c>
      <c r="H267" s="8" t="s">
        <v>1688</v>
      </c>
      <c r="I267" s="8" t="s">
        <v>1689</v>
      </c>
      <c r="J267" s="8" t="s">
        <v>1690</v>
      </c>
    </row>
    <row r="268" customFormat="false" ht="36" hidden="false" customHeight="true" outlineLevel="0" collapsed="false">
      <c r="A268" s="9" t="s">
        <v>1691</v>
      </c>
      <c r="B268" s="9" t="s">
        <v>1692</v>
      </c>
      <c r="C268" s="9"/>
      <c r="D268" s="9" t="s">
        <v>1404</v>
      </c>
      <c r="E268" s="9" t="s">
        <v>730</v>
      </c>
      <c r="F268" s="9" t="s">
        <v>1693</v>
      </c>
      <c r="G268" s="9" t="s">
        <v>1694</v>
      </c>
      <c r="H268" s="9" t="s">
        <v>400</v>
      </c>
      <c r="I268" s="9" t="s">
        <v>1695</v>
      </c>
      <c r="J268" s="9" t="s">
        <v>1696</v>
      </c>
    </row>
    <row r="269" customFormat="false" ht="36" hidden="false" customHeight="true" outlineLevel="0" collapsed="false">
      <c r="A269" s="8" t="s">
        <v>1697</v>
      </c>
      <c r="B269" s="8" t="s">
        <v>1698</v>
      </c>
      <c r="C269" s="8"/>
      <c r="D269" s="8" t="s">
        <v>1404</v>
      </c>
      <c r="E269" s="8" t="s">
        <v>730</v>
      </c>
      <c r="F269" s="8" t="s">
        <v>1699</v>
      </c>
      <c r="G269" s="8" t="s">
        <v>1700</v>
      </c>
      <c r="H269" s="8" t="s">
        <v>400</v>
      </c>
      <c r="I269" s="8" t="s">
        <v>1701</v>
      </c>
      <c r="J269" s="8" t="s">
        <v>1702</v>
      </c>
    </row>
    <row r="270" customFormat="false" ht="36" hidden="false" customHeight="true" outlineLevel="0" collapsed="false">
      <c r="A270" s="9" t="s">
        <v>1703</v>
      </c>
      <c r="B270" s="9" t="s">
        <v>1704</v>
      </c>
      <c r="C270" s="9" t="s">
        <v>1705</v>
      </c>
      <c r="D270" s="9" t="s">
        <v>1404</v>
      </c>
      <c r="E270" s="9" t="s">
        <v>730</v>
      </c>
      <c r="F270" s="9" t="s">
        <v>1706</v>
      </c>
      <c r="G270" s="9" t="s">
        <v>1707</v>
      </c>
      <c r="H270" s="9" t="s">
        <v>1708</v>
      </c>
      <c r="I270" s="9" t="s">
        <v>1709</v>
      </c>
      <c r="J270" s="9" t="s">
        <v>1666</v>
      </c>
    </row>
    <row r="271" customFormat="false" ht="36" hidden="false" customHeight="true" outlineLevel="0" collapsed="false">
      <c r="A271" s="8" t="s">
        <v>1710</v>
      </c>
      <c r="B271" s="8" t="s">
        <v>1711</v>
      </c>
      <c r="C271" s="8" t="s">
        <v>1712</v>
      </c>
      <c r="D271" s="8" t="s">
        <v>1404</v>
      </c>
      <c r="E271" s="8" t="s">
        <v>1336</v>
      </c>
      <c r="F271" s="8" t="s">
        <v>1713</v>
      </c>
      <c r="G271" s="8" t="s">
        <v>1714</v>
      </c>
      <c r="H271" s="8" t="s">
        <v>1715</v>
      </c>
      <c r="I271" s="8" t="s">
        <v>1716</v>
      </c>
      <c r="J271" s="8" t="s">
        <v>1717</v>
      </c>
    </row>
    <row r="272" customFormat="false" ht="36" hidden="false" customHeight="true" outlineLevel="0" collapsed="false">
      <c r="A272" s="9" t="s">
        <v>1718</v>
      </c>
      <c r="B272" s="9" t="s">
        <v>1719</v>
      </c>
      <c r="C272" s="9" t="s">
        <v>1717</v>
      </c>
      <c r="D272" s="9" t="s">
        <v>1404</v>
      </c>
      <c r="E272" s="9" t="s">
        <v>971</v>
      </c>
      <c r="F272" s="9" t="s">
        <v>1720</v>
      </c>
      <c r="G272" s="9" t="s">
        <v>1721</v>
      </c>
      <c r="H272" s="9" t="s">
        <v>1715</v>
      </c>
      <c r="I272" s="9" t="s">
        <v>1722</v>
      </c>
      <c r="J272" s="9" t="s">
        <v>1723</v>
      </c>
    </row>
    <row r="273" customFormat="false" ht="36" hidden="false" customHeight="true" outlineLevel="0" collapsed="false">
      <c r="A273" s="8" t="s">
        <v>1724</v>
      </c>
      <c r="B273" s="8" t="s">
        <v>1715</v>
      </c>
      <c r="C273" s="8" t="s">
        <v>1715</v>
      </c>
      <c r="D273" s="8" t="s">
        <v>1404</v>
      </c>
      <c r="E273" s="8" t="s">
        <v>1405</v>
      </c>
      <c r="F273" s="8" t="s">
        <v>1725</v>
      </c>
      <c r="G273" s="8" t="s">
        <v>1726</v>
      </c>
      <c r="H273" s="8" t="s">
        <v>1715</v>
      </c>
      <c r="I273" s="8" t="s">
        <v>1727</v>
      </c>
      <c r="J273" s="8" t="s">
        <v>1712</v>
      </c>
    </row>
    <row r="274" customFormat="false" ht="36" hidden="false" customHeight="true" outlineLevel="0" collapsed="false">
      <c r="A274" s="9" t="s">
        <v>1728</v>
      </c>
      <c r="B274" s="9" t="s">
        <v>1729</v>
      </c>
      <c r="C274" s="9"/>
      <c r="D274" s="9" t="s">
        <v>1404</v>
      </c>
      <c r="E274" s="9" t="s">
        <v>1723</v>
      </c>
      <c r="F274" s="9" t="s">
        <v>1730</v>
      </c>
      <c r="G274" s="9" t="s">
        <v>1731</v>
      </c>
      <c r="H274" s="9" t="s">
        <v>1715</v>
      </c>
      <c r="I274" s="9" t="s">
        <v>1732</v>
      </c>
      <c r="J274" s="9" t="s">
        <v>1733</v>
      </c>
    </row>
    <row r="275" customFormat="false" ht="36" hidden="false" customHeight="true" outlineLevel="0" collapsed="false">
      <c r="A275" s="8" t="s">
        <v>1734</v>
      </c>
      <c r="B275" s="8" t="s">
        <v>1735</v>
      </c>
      <c r="C275" s="8"/>
      <c r="D275" s="8" t="s">
        <v>1404</v>
      </c>
      <c r="E275" s="8" t="s">
        <v>1723</v>
      </c>
      <c r="F275" s="8" t="s">
        <v>1736</v>
      </c>
      <c r="G275" s="8" t="s">
        <v>1737</v>
      </c>
      <c r="H275" s="8" t="s">
        <v>1738</v>
      </c>
      <c r="I275" s="8" t="s">
        <v>1739</v>
      </c>
      <c r="J275" s="8" t="s">
        <v>1409</v>
      </c>
    </row>
    <row r="276" customFormat="false" ht="36" hidden="false" customHeight="true" outlineLevel="0" collapsed="false">
      <c r="A276" s="9" t="s">
        <v>1740</v>
      </c>
      <c r="B276" s="9" t="s">
        <v>1741</v>
      </c>
      <c r="C276" s="9"/>
      <c r="D276" s="9" t="s">
        <v>1404</v>
      </c>
      <c r="E276" s="9" t="s">
        <v>580</v>
      </c>
      <c r="F276" s="9" t="s">
        <v>1742</v>
      </c>
      <c r="G276" s="9" t="s">
        <v>1743</v>
      </c>
      <c r="H276" s="9" t="s">
        <v>400</v>
      </c>
      <c r="I276" s="9" t="s">
        <v>1744</v>
      </c>
      <c r="J276" s="9" t="s">
        <v>1594</v>
      </c>
    </row>
    <row r="277" customFormat="false" ht="36" hidden="false" customHeight="true" outlineLevel="0" collapsed="false">
      <c r="A277" s="8" t="s">
        <v>1745</v>
      </c>
      <c r="B277" s="8" t="s">
        <v>1746</v>
      </c>
      <c r="C277" s="8" t="s">
        <v>490</v>
      </c>
      <c r="D277" s="8" t="s">
        <v>485</v>
      </c>
      <c r="E277" s="8" t="s">
        <v>1747</v>
      </c>
      <c r="F277" s="8" t="s">
        <v>1748</v>
      </c>
      <c r="G277" s="8" t="s">
        <v>1749</v>
      </c>
      <c r="H277" s="8" t="s">
        <v>1750</v>
      </c>
      <c r="I277" s="8" t="s">
        <v>1751</v>
      </c>
      <c r="J277" s="8" t="s">
        <v>1752</v>
      </c>
    </row>
    <row r="278" customFormat="false" ht="36" hidden="false" customHeight="true" outlineLevel="0" collapsed="false">
      <c r="A278" s="9" t="s">
        <v>1753</v>
      </c>
      <c r="B278" s="9" t="s">
        <v>1754</v>
      </c>
      <c r="C278" s="9" t="s">
        <v>1752</v>
      </c>
      <c r="D278" s="9" t="s">
        <v>485</v>
      </c>
      <c r="E278" s="9" t="s">
        <v>1747</v>
      </c>
      <c r="F278" s="9" t="s">
        <v>1755</v>
      </c>
      <c r="G278" s="9" t="s">
        <v>1756</v>
      </c>
      <c r="H278" s="9" t="s">
        <v>1757</v>
      </c>
      <c r="I278" s="9" t="s">
        <v>1758</v>
      </c>
      <c r="J278" s="9" t="s">
        <v>490</v>
      </c>
    </row>
    <row r="279" customFormat="false" ht="36" hidden="false" customHeight="true" outlineLevel="0" collapsed="false">
      <c r="A279" s="8" t="s">
        <v>1759</v>
      </c>
      <c r="B279" s="8" t="s">
        <v>1760</v>
      </c>
      <c r="C279" s="8" t="s">
        <v>1761</v>
      </c>
      <c r="D279" s="8" t="s">
        <v>485</v>
      </c>
      <c r="E279" s="8" t="s">
        <v>971</v>
      </c>
      <c r="F279" s="8" t="s">
        <v>1762</v>
      </c>
      <c r="G279" s="8" t="s">
        <v>1763</v>
      </c>
      <c r="H279" s="8" t="s">
        <v>1764</v>
      </c>
      <c r="I279" s="8" t="s">
        <v>1765</v>
      </c>
      <c r="J279" s="8" t="s">
        <v>426</v>
      </c>
    </row>
    <row r="280" customFormat="false" ht="36" hidden="false" customHeight="true" outlineLevel="0" collapsed="false">
      <c r="A280" s="9" t="s">
        <v>1766</v>
      </c>
      <c r="B280" s="9" t="s">
        <v>1767</v>
      </c>
      <c r="C280" s="9" t="s">
        <v>1768</v>
      </c>
      <c r="D280" s="9" t="s">
        <v>485</v>
      </c>
      <c r="E280" s="9" t="s">
        <v>971</v>
      </c>
      <c r="F280" s="9" t="s">
        <v>1769</v>
      </c>
      <c r="G280" s="9" t="s">
        <v>1770</v>
      </c>
      <c r="H280" s="9" t="s">
        <v>1764</v>
      </c>
      <c r="I280" s="9" t="s">
        <v>1771</v>
      </c>
      <c r="J280" s="9" t="s">
        <v>426</v>
      </c>
    </row>
    <row r="281" customFormat="false" ht="36" hidden="false" customHeight="true" outlineLevel="0" collapsed="false">
      <c r="A281" s="8" t="s">
        <v>1772</v>
      </c>
      <c r="B281" s="8" t="s">
        <v>1773</v>
      </c>
      <c r="C281" s="8" t="s">
        <v>426</v>
      </c>
      <c r="D281" s="8" t="s">
        <v>485</v>
      </c>
      <c r="E281" s="8" t="s">
        <v>1774</v>
      </c>
      <c r="F281" s="8" t="s">
        <v>1775</v>
      </c>
      <c r="G281" s="8" t="s">
        <v>1776</v>
      </c>
      <c r="H281" s="8" t="s">
        <v>1764</v>
      </c>
      <c r="I281" s="8" t="s">
        <v>1777</v>
      </c>
      <c r="J281" s="8" t="s">
        <v>1778</v>
      </c>
    </row>
    <row r="282" customFormat="false" ht="36" hidden="false" customHeight="true" outlineLevel="0" collapsed="false">
      <c r="A282" s="9" t="s">
        <v>1779</v>
      </c>
      <c r="B282" s="9" t="s">
        <v>1780</v>
      </c>
      <c r="C282" s="9" t="s">
        <v>1778</v>
      </c>
      <c r="D282" s="9" t="s">
        <v>485</v>
      </c>
      <c r="E282" s="9" t="s">
        <v>1774</v>
      </c>
      <c r="F282" s="9" t="s">
        <v>1781</v>
      </c>
      <c r="G282" s="9" t="s">
        <v>1782</v>
      </c>
      <c r="H282" s="9" t="s">
        <v>1764</v>
      </c>
      <c r="I282" s="9" t="s">
        <v>1783</v>
      </c>
      <c r="J282" s="9" t="s">
        <v>1784</v>
      </c>
    </row>
    <row r="283" customFormat="false" ht="36" hidden="false" customHeight="true" outlineLevel="0" collapsed="false">
      <c r="A283" s="8" t="s">
        <v>1785</v>
      </c>
      <c r="B283" s="8" t="s">
        <v>1786</v>
      </c>
      <c r="C283" s="8" t="s">
        <v>1784</v>
      </c>
      <c r="D283" s="8" t="s">
        <v>485</v>
      </c>
      <c r="E283" s="8" t="s">
        <v>1774</v>
      </c>
      <c r="F283" s="8" t="s">
        <v>1787</v>
      </c>
      <c r="G283" s="8" t="s">
        <v>1788</v>
      </c>
      <c r="H283" s="8" t="s">
        <v>1757</v>
      </c>
      <c r="I283" s="8" t="s">
        <v>1789</v>
      </c>
      <c r="J283" s="8" t="s">
        <v>426</v>
      </c>
    </row>
    <row r="284" customFormat="false" ht="36" hidden="false" customHeight="true" outlineLevel="0" collapsed="false">
      <c r="A284" s="9" t="s">
        <v>1790</v>
      </c>
      <c r="B284" s="9" t="s">
        <v>1791</v>
      </c>
      <c r="C284" s="9"/>
      <c r="D284" s="9" t="s">
        <v>485</v>
      </c>
      <c r="E284" s="9" t="s">
        <v>72</v>
      </c>
      <c r="F284" s="9" t="s">
        <v>1792</v>
      </c>
      <c r="G284" s="9" t="s">
        <v>1793</v>
      </c>
      <c r="H284" s="9" t="s">
        <v>1757</v>
      </c>
      <c r="I284" s="9" t="s">
        <v>1794</v>
      </c>
      <c r="J284" s="9" t="s">
        <v>1795</v>
      </c>
    </row>
    <row r="285" customFormat="false" ht="36" hidden="false" customHeight="true" outlineLevel="0" collapsed="false">
      <c r="A285" s="8" t="s">
        <v>1796</v>
      </c>
      <c r="B285" s="8" t="s">
        <v>1797</v>
      </c>
      <c r="C285" s="8"/>
      <c r="D285" s="8" t="s">
        <v>485</v>
      </c>
      <c r="E285" s="8" t="s">
        <v>72</v>
      </c>
      <c r="F285" s="8" t="s">
        <v>1798</v>
      </c>
      <c r="G285" s="8" t="s">
        <v>1799</v>
      </c>
      <c r="H285" s="8" t="s">
        <v>1757</v>
      </c>
      <c r="I285" s="8" t="s">
        <v>1800</v>
      </c>
      <c r="J285" s="8" t="s">
        <v>1801</v>
      </c>
    </row>
    <row r="286" customFormat="false" ht="36" hidden="false" customHeight="true" outlineLevel="0" collapsed="false">
      <c r="A286" s="9" t="s">
        <v>1802</v>
      </c>
      <c r="B286" s="9" t="s">
        <v>1803</v>
      </c>
      <c r="C286" s="9"/>
      <c r="D286" s="9" t="s">
        <v>485</v>
      </c>
      <c r="E286" s="9" t="s">
        <v>1804</v>
      </c>
      <c r="F286" s="9" t="s">
        <v>1805</v>
      </c>
      <c r="G286" s="9" t="s">
        <v>1806</v>
      </c>
      <c r="H286" s="9" t="s">
        <v>1807</v>
      </c>
      <c r="I286" s="9" t="s">
        <v>1808</v>
      </c>
      <c r="J286" s="9" t="s">
        <v>1809</v>
      </c>
    </row>
    <row r="287" customFormat="false" ht="36" hidden="false" customHeight="true" outlineLevel="0" collapsed="false">
      <c r="A287" s="8" t="s">
        <v>1810</v>
      </c>
      <c r="B287" s="8" t="s">
        <v>1811</v>
      </c>
      <c r="C287" s="8" t="s">
        <v>1809</v>
      </c>
      <c r="D287" s="8" t="s">
        <v>485</v>
      </c>
      <c r="E287" s="8" t="s">
        <v>1812</v>
      </c>
      <c r="F287" s="8" t="s">
        <v>1813</v>
      </c>
      <c r="G287" s="8" t="s">
        <v>1814</v>
      </c>
      <c r="H287" s="8" t="s">
        <v>1815</v>
      </c>
      <c r="I287" s="8" t="s">
        <v>1816</v>
      </c>
      <c r="J287" s="8" t="s">
        <v>1817</v>
      </c>
    </row>
    <row r="288" customFormat="false" ht="36" hidden="false" customHeight="true" outlineLevel="0" collapsed="false">
      <c r="A288" s="9" t="s">
        <v>1818</v>
      </c>
      <c r="B288" s="9" t="s">
        <v>1819</v>
      </c>
      <c r="C288" s="9" t="s">
        <v>1817</v>
      </c>
      <c r="D288" s="9" t="s">
        <v>485</v>
      </c>
      <c r="E288" s="9" t="s">
        <v>1812</v>
      </c>
      <c r="F288" s="9" t="s">
        <v>1820</v>
      </c>
      <c r="G288" s="9" t="s">
        <v>1821</v>
      </c>
      <c r="H288" s="9" t="s">
        <v>1764</v>
      </c>
      <c r="I288" s="9" t="s">
        <v>1822</v>
      </c>
      <c r="J288" s="9" t="s">
        <v>1809</v>
      </c>
    </row>
    <row r="289" customFormat="false" ht="36" hidden="false" customHeight="true" outlineLevel="0" collapsed="false">
      <c r="A289" s="8" t="s">
        <v>1823</v>
      </c>
      <c r="B289" s="8" t="s">
        <v>1824</v>
      </c>
      <c r="C289" s="8" t="s">
        <v>1825</v>
      </c>
      <c r="D289" s="8" t="s">
        <v>485</v>
      </c>
      <c r="E289" s="8" t="s">
        <v>1826</v>
      </c>
      <c r="F289" s="8" t="s">
        <v>1827</v>
      </c>
      <c r="G289" s="8" t="s">
        <v>1828</v>
      </c>
      <c r="H289" s="8" t="s">
        <v>84</v>
      </c>
      <c r="I289" s="8" t="s">
        <v>1829</v>
      </c>
      <c r="J289" s="8" t="s">
        <v>1830</v>
      </c>
    </row>
    <row r="290" customFormat="false" ht="36" hidden="false" customHeight="true" outlineLevel="0" collapsed="false">
      <c r="A290" s="9" t="s">
        <v>1831</v>
      </c>
      <c r="B290" s="9" t="s">
        <v>1832</v>
      </c>
      <c r="C290" s="9" t="s">
        <v>1833</v>
      </c>
      <c r="D290" s="9" t="s">
        <v>485</v>
      </c>
      <c r="E290" s="9" t="s">
        <v>1826</v>
      </c>
      <c r="F290" s="9" t="s">
        <v>1834</v>
      </c>
      <c r="G290" s="9" t="s">
        <v>1835</v>
      </c>
      <c r="H290" s="9" t="s">
        <v>1836</v>
      </c>
      <c r="I290" s="9" t="s">
        <v>1837</v>
      </c>
      <c r="J290" s="9" t="s">
        <v>1830</v>
      </c>
    </row>
    <row r="291" customFormat="false" ht="36" hidden="false" customHeight="true" outlineLevel="0" collapsed="false">
      <c r="A291" s="8" t="s">
        <v>1838</v>
      </c>
      <c r="B291" s="8" t="s">
        <v>1839</v>
      </c>
      <c r="C291" s="8" t="s">
        <v>1830</v>
      </c>
      <c r="D291" s="8" t="s">
        <v>485</v>
      </c>
      <c r="E291" s="8" t="s">
        <v>1840</v>
      </c>
      <c r="F291" s="8" t="s">
        <v>1841</v>
      </c>
      <c r="G291" s="8" t="s">
        <v>1842</v>
      </c>
      <c r="H291" s="8" t="s">
        <v>1843</v>
      </c>
      <c r="I291" s="8" t="s">
        <v>1844</v>
      </c>
      <c r="J291" s="8" t="s">
        <v>1845</v>
      </c>
    </row>
    <row r="292" customFormat="false" ht="36" hidden="false" customHeight="true" outlineLevel="0" collapsed="false">
      <c r="A292" s="9" t="s">
        <v>1846</v>
      </c>
      <c r="B292" s="9" t="s">
        <v>1847</v>
      </c>
      <c r="C292" s="9" t="s">
        <v>1845</v>
      </c>
      <c r="D292" s="9" t="s">
        <v>485</v>
      </c>
      <c r="E292" s="9" t="s">
        <v>1840</v>
      </c>
      <c r="F292" s="9" t="s">
        <v>1848</v>
      </c>
      <c r="G292" s="9" t="s">
        <v>1849</v>
      </c>
      <c r="H292" s="9" t="s">
        <v>84</v>
      </c>
      <c r="I292" s="9" t="s">
        <v>1850</v>
      </c>
      <c r="J292" s="9" t="s">
        <v>1851</v>
      </c>
    </row>
    <row r="293" customFormat="false" ht="36" hidden="false" customHeight="true" outlineLevel="0" collapsed="false">
      <c r="A293" s="8" t="s">
        <v>1852</v>
      </c>
      <c r="B293" s="8" t="s">
        <v>1853</v>
      </c>
      <c r="C293" s="8" t="s">
        <v>1851</v>
      </c>
      <c r="D293" s="8" t="s">
        <v>485</v>
      </c>
      <c r="E293" s="8" t="s">
        <v>1840</v>
      </c>
      <c r="F293" s="8" t="s">
        <v>1854</v>
      </c>
      <c r="G293" s="8" t="s">
        <v>1855</v>
      </c>
      <c r="H293" s="8" t="s">
        <v>1856</v>
      </c>
      <c r="I293" s="8" t="s">
        <v>1857</v>
      </c>
      <c r="J293" s="8" t="s">
        <v>1830</v>
      </c>
    </row>
    <row r="294" customFormat="false" ht="36" hidden="false" customHeight="true" outlineLevel="0" collapsed="false">
      <c r="A294" s="9" t="s">
        <v>1858</v>
      </c>
      <c r="B294" s="9" t="s">
        <v>1859</v>
      </c>
      <c r="C294" s="9" t="s">
        <v>1860</v>
      </c>
      <c r="D294" s="9" t="s">
        <v>485</v>
      </c>
      <c r="E294" s="9" t="s">
        <v>1840</v>
      </c>
      <c r="F294" s="9" t="s">
        <v>1861</v>
      </c>
      <c r="G294" s="9" t="s">
        <v>1862</v>
      </c>
      <c r="H294" s="9" t="s">
        <v>1863</v>
      </c>
      <c r="I294" s="9" t="s">
        <v>1864</v>
      </c>
      <c r="J294" s="9" t="s">
        <v>1865</v>
      </c>
    </row>
    <row r="295" customFormat="false" ht="36" hidden="false" customHeight="true" outlineLevel="0" collapsed="false">
      <c r="A295" s="8" t="s">
        <v>1866</v>
      </c>
      <c r="B295" s="8" t="s">
        <v>1865</v>
      </c>
      <c r="C295" s="8" t="s">
        <v>1865</v>
      </c>
      <c r="D295" s="8" t="s">
        <v>485</v>
      </c>
      <c r="E295" s="8" t="s">
        <v>1747</v>
      </c>
      <c r="F295" s="8" t="s">
        <v>1867</v>
      </c>
      <c r="G295" s="8" t="s">
        <v>1868</v>
      </c>
      <c r="H295" s="8" t="s">
        <v>1863</v>
      </c>
      <c r="I295" s="8" t="s">
        <v>1869</v>
      </c>
      <c r="J295" s="8" t="s">
        <v>1870</v>
      </c>
    </row>
    <row r="296" customFormat="false" ht="36" hidden="false" customHeight="true" outlineLevel="0" collapsed="false">
      <c r="A296" s="9" t="s">
        <v>1871</v>
      </c>
      <c r="B296" s="9" t="s">
        <v>1872</v>
      </c>
      <c r="C296" s="9"/>
      <c r="D296" s="9" t="s">
        <v>485</v>
      </c>
      <c r="E296" s="9" t="s">
        <v>971</v>
      </c>
      <c r="F296" s="9" t="s">
        <v>1873</v>
      </c>
      <c r="G296" s="9" t="s">
        <v>1874</v>
      </c>
      <c r="H296" s="9" t="s">
        <v>1764</v>
      </c>
      <c r="I296" s="9" t="s">
        <v>1875</v>
      </c>
      <c r="J296" s="9" t="s">
        <v>1761</v>
      </c>
    </row>
    <row r="297" customFormat="false" ht="36" hidden="false" customHeight="true" outlineLevel="0" collapsed="false">
      <c r="A297" s="8" t="s">
        <v>1876</v>
      </c>
      <c r="B297" s="8" t="s">
        <v>1877</v>
      </c>
      <c r="C297" s="8"/>
      <c r="D297" s="8" t="s">
        <v>485</v>
      </c>
      <c r="E297" s="8" t="s">
        <v>1878</v>
      </c>
      <c r="F297" s="8" t="s">
        <v>1879</v>
      </c>
      <c r="G297" s="8" t="s">
        <v>1880</v>
      </c>
      <c r="H297" s="8" t="s">
        <v>1881</v>
      </c>
      <c r="I297" s="8" t="s">
        <v>1882</v>
      </c>
      <c r="J297" s="8" t="s">
        <v>490</v>
      </c>
    </row>
    <row r="298" customFormat="false" ht="36" hidden="false" customHeight="true" outlineLevel="0" collapsed="false">
      <c r="A298" s="9" t="s">
        <v>1883</v>
      </c>
      <c r="B298" s="9" t="s">
        <v>1884</v>
      </c>
      <c r="C298" s="9"/>
      <c r="D298" s="9" t="s">
        <v>485</v>
      </c>
      <c r="E298" s="9" t="s">
        <v>1878</v>
      </c>
      <c r="F298" s="9" t="s">
        <v>1885</v>
      </c>
      <c r="G298" s="9" t="s">
        <v>1886</v>
      </c>
      <c r="H298" s="9" t="s">
        <v>1887</v>
      </c>
      <c r="I298" s="9" t="s">
        <v>1888</v>
      </c>
      <c r="J298" s="9" t="s">
        <v>426</v>
      </c>
    </row>
    <row r="299" customFormat="false" ht="36" hidden="false" customHeight="true" outlineLevel="0" collapsed="false">
      <c r="A299" s="8" t="s">
        <v>1889</v>
      </c>
      <c r="B299" s="8" t="s">
        <v>1890</v>
      </c>
      <c r="C299" s="8" t="s">
        <v>1891</v>
      </c>
      <c r="D299" s="8" t="s">
        <v>485</v>
      </c>
      <c r="E299" s="8" t="s">
        <v>1891</v>
      </c>
      <c r="F299" s="8" t="s">
        <v>1892</v>
      </c>
      <c r="G299" s="8" t="s">
        <v>1893</v>
      </c>
      <c r="H299" s="8" t="s">
        <v>1894</v>
      </c>
      <c r="I299" s="8" t="s">
        <v>1895</v>
      </c>
      <c r="J299" s="8" t="s">
        <v>1896</v>
      </c>
    </row>
    <row r="300" customFormat="false" ht="36" hidden="false" customHeight="true" outlineLevel="0" collapsed="false">
      <c r="A300" s="9" t="s">
        <v>1897</v>
      </c>
      <c r="B300" s="9" t="s">
        <v>1898</v>
      </c>
      <c r="C300" s="9" t="s">
        <v>1896</v>
      </c>
      <c r="D300" s="9" t="s">
        <v>485</v>
      </c>
      <c r="E300" s="9" t="s">
        <v>1891</v>
      </c>
      <c r="F300" s="9" t="s">
        <v>1899</v>
      </c>
      <c r="G300" s="9" t="s">
        <v>1900</v>
      </c>
      <c r="H300" s="9" t="s">
        <v>1901</v>
      </c>
      <c r="I300" s="9" t="s">
        <v>1902</v>
      </c>
      <c r="J300" s="9" t="s">
        <v>1903</v>
      </c>
    </row>
    <row r="301" customFormat="false" ht="36" hidden="false" customHeight="true" outlineLevel="0" collapsed="false">
      <c r="A301" s="8" t="s">
        <v>1904</v>
      </c>
      <c r="B301" s="8" t="s">
        <v>1905</v>
      </c>
      <c r="C301" s="8" t="s">
        <v>1903</v>
      </c>
      <c r="D301" s="8" t="s">
        <v>485</v>
      </c>
      <c r="E301" s="8" t="s">
        <v>1891</v>
      </c>
      <c r="F301" s="8" t="s">
        <v>1906</v>
      </c>
      <c r="G301" s="8" t="s">
        <v>1907</v>
      </c>
      <c r="H301" s="8" t="s">
        <v>1908</v>
      </c>
      <c r="I301" s="8" t="s">
        <v>1909</v>
      </c>
      <c r="J301" s="8" t="s">
        <v>1634</v>
      </c>
    </row>
    <row r="302" customFormat="false" ht="36" hidden="false" customHeight="true" outlineLevel="0" collapsed="false">
      <c r="A302" s="9" t="s">
        <v>1910</v>
      </c>
      <c r="B302" s="9" t="s">
        <v>1911</v>
      </c>
      <c r="C302" s="9" t="s">
        <v>1634</v>
      </c>
      <c r="D302" s="9" t="s">
        <v>485</v>
      </c>
      <c r="E302" s="9" t="s">
        <v>1891</v>
      </c>
      <c r="F302" s="9" t="s">
        <v>1912</v>
      </c>
      <c r="G302" s="9" t="s">
        <v>1913</v>
      </c>
      <c r="H302" s="9" t="s">
        <v>1914</v>
      </c>
      <c r="I302" s="9" t="s">
        <v>1915</v>
      </c>
      <c r="J302" s="9" t="s">
        <v>1896</v>
      </c>
    </row>
    <row r="303" customFormat="false" ht="36" hidden="false" customHeight="true" outlineLevel="0" collapsed="false">
      <c r="A303" s="8" t="s">
        <v>1916</v>
      </c>
      <c r="B303" s="8" t="s">
        <v>1917</v>
      </c>
      <c r="C303" s="8" t="s">
        <v>1918</v>
      </c>
      <c r="D303" s="8" t="s">
        <v>485</v>
      </c>
      <c r="E303" s="8" t="s">
        <v>1891</v>
      </c>
      <c r="F303" s="8" t="s">
        <v>1919</v>
      </c>
      <c r="G303" s="8" t="s">
        <v>1920</v>
      </c>
      <c r="H303" s="8" t="s">
        <v>1921</v>
      </c>
      <c r="I303" s="8" t="s">
        <v>1922</v>
      </c>
      <c r="J303" s="8" t="s">
        <v>1896</v>
      </c>
    </row>
    <row r="304" customFormat="false" ht="36" hidden="false" customHeight="true" outlineLevel="0" collapsed="false">
      <c r="A304" s="9" t="s">
        <v>1923</v>
      </c>
      <c r="B304" s="9" t="s">
        <v>1924</v>
      </c>
      <c r="C304" s="9"/>
      <c r="D304" s="9" t="s">
        <v>485</v>
      </c>
      <c r="E304" s="9" t="s">
        <v>971</v>
      </c>
      <c r="F304" s="9" t="s">
        <v>1925</v>
      </c>
      <c r="G304" s="9" t="s">
        <v>1926</v>
      </c>
      <c r="H304" s="9" t="s">
        <v>1927</v>
      </c>
      <c r="I304" s="9" t="s">
        <v>1928</v>
      </c>
      <c r="J304" s="9" t="s">
        <v>1809</v>
      </c>
    </row>
    <row r="305" customFormat="false" ht="36" hidden="false" customHeight="true" outlineLevel="0" collapsed="false">
      <c r="A305" s="8" t="s">
        <v>1929</v>
      </c>
      <c r="B305" s="8" t="s">
        <v>1930</v>
      </c>
      <c r="C305" s="8"/>
      <c r="D305" s="8" t="s">
        <v>485</v>
      </c>
      <c r="E305" s="8" t="s">
        <v>1826</v>
      </c>
      <c r="F305" s="8" t="s">
        <v>1931</v>
      </c>
      <c r="G305" s="8" t="s">
        <v>1932</v>
      </c>
      <c r="H305" s="8" t="s">
        <v>1927</v>
      </c>
      <c r="I305" s="8" t="s">
        <v>1933</v>
      </c>
      <c r="J305" s="8" t="s">
        <v>1934</v>
      </c>
    </row>
    <row r="306" customFormat="false" ht="36" hidden="false" customHeight="true" outlineLevel="0" collapsed="false">
      <c r="A306" s="9" t="s">
        <v>1935</v>
      </c>
      <c r="B306" s="9" t="s">
        <v>1934</v>
      </c>
      <c r="C306" s="9"/>
      <c r="D306" s="9" t="s">
        <v>485</v>
      </c>
      <c r="E306" s="9" t="s">
        <v>1826</v>
      </c>
      <c r="F306" s="9" t="s">
        <v>1936</v>
      </c>
      <c r="G306" s="9" t="s">
        <v>1937</v>
      </c>
      <c r="H306" s="9" t="s">
        <v>1927</v>
      </c>
      <c r="I306" s="9" t="s">
        <v>1938</v>
      </c>
      <c r="J306" s="9" t="s">
        <v>1930</v>
      </c>
    </row>
    <row r="307" customFormat="false" ht="36" hidden="false" customHeight="true" outlineLevel="0" collapsed="false">
      <c r="A307" s="8" t="s">
        <v>1939</v>
      </c>
      <c r="B307" s="8" t="s">
        <v>1940</v>
      </c>
      <c r="C307" s="8"/>
      <c r="D307" s="8" t="s">
        <v>485</v>
      </c>
      <c r="E307" s="8" t="s">
        <v>1826</v>
      </c>
      <c r="F307" s="8" t="s">
        <v>1941</v>
      </c>
      <c r="G307" s="8" t="s">
        <v>1942</v>
      </c>
      <c r="H307" s="8" t="s">
        <v>1927</v>
      </c>
      <c r="I307" s="8" t="s">
        <v>1943</v>
      </c>
      <c r="J307" s="8" t="s">
        <v>1944</v>
      </c>
    </row>
    <row r="308" customFormat="false" ht="36" hidden="false" customHeight="true" outlineLevel="0" collapsed="false">
      <c r="A308" s="9" t="s">
        <v>1945</v>
      </c>
      <c r="B308" s="9" t="s">
        <v>1946</v>
      </c>
      <c r="C308" s="9" t="s">
        <v>1947</v>
      </c>
      <c r="D308" s="9" t="s">
        <v>485</v>
      </c>
      <c r="E308" s="9" t="s">
        <v>1336</v>
      </c>
      <c r="F308" s="9" t="s">
        <v>1948</v>
      </c>
      <c r="G308" s="9" t="s">
        <v>1949</v>
      </c>
      <c r="H308" s="9" t="s">
        <v>488</v>
      </c>
      <c r="I308" s="9" t="s">
        <v>1950</v>
      </c>
      <c r="J308" s="9" t="s">
        <v>1951</v>
      </c>
    </row>
    <row r="309" customFormat="false" ht="36" hidden="false" customHeight="true" outlineLevel="0" collapsed="false">
      <c r="A309" s="8" t="s">
        <v>1952</v>
      </c>
      <c r="B309" s="8" t="s">
        <v>1953</v>
      </c>
      <c r="C309" s="8"/>
      <c r="D309" s="8" t="s">
        <v>485</v>
      </c>
      <c r="E309" s="8" t="s">
        <v>1954</v>
      </c>
      <c r="F309" s="8" t="s">
        <v>1955</v>
      </c>
      <c r="G309" s="8" t="s">
        <v>1956</v>
      </c>
      <c r="H309" s="8" t="s">
        <v>1957</v>
      </c>
      <c r="I309" s="8" t="s">
        <v>1958</v>
      </c>
      <c r="J309" s="8" t="s">
        <v>1954</v>
      </c>
    </row>
    <row r="310" customFormat="false" ht="36" hidden="false" customHeight="true" outlineLevel="0" collapsed="false">
      <c r="A310" s="9" t="s">
        <v>1959</v>
      </c>
      <c r="B310" s="9" t="s">
        <v>1960</v>
      </c>
      <c r="C310" s="9"/>
      <c r="D310" s="9" t="s">
        <v>1954</v>
      </c>
      <c r="E310" s="9" t="s">
        <v>72</v>
      </c>
      <c r="F310" s="9" t="s">
        <v>1961</v>
      </c>
      <c r="G310" s="9" t="s">
        <v>1962</v>
      </c>
      <c r="H310" s="9" t="s">
        <v>1963</v>
      </c>
      <c r="I310" s="9" t="s">
        <v>1964</v>
      </c>
      <c r="J310" s="9" t="s">
        <v>1965</v>
      </c>
    </row>
    <row r="311" customFormat="false" ht="36" hidden="false" customHeight="true" outlineLevel="0" collapsed="false">
      <c r="A311" s="8" t="s">
        <v>1966</v>
      </c>
      <c r="B311" s="8" t="s">
        <v>1967</v>
      </c>
      <c r="C311" s="8" t="s">
        <v>1954</v>
      </c>
      <c r="D311" s="8" t="s">
        <v>1954</v>
      </c>
      <c r="E311" s="8" t="s">
        <v>1747</v>
      </c>
      <c r="F311" s="8" t="s">
        <v>1968</v>
      </c>
      <c r="G311" s="8" t="s">
        <v>1969</v>
      </c>
      <c r="H311" s="8" t="s">
        <v>1970</v>
      </c>
      <c r="I311" s="8" t="s">
        <v>1971</v>
      </c>
      <c r="J311" s="8" t="s">
        <v>490</v>
      </c>
    </row>
    <row r="312" customFormat="false" ht="36" hidden="false" customHeight="true" outlineLevel="0" collapsed="false">
      <c r="A312" s="9" t="s">
        <v>1972</v>
      </c>
      <c r="B312" s="9" t="s">
        <v>1973</v>
      </c>
      <c r="C312" s="9"/>
      <c r="D312" s="9" t="s">
        <v>1954</v>
      </c>
      <c r="E312" s="9" t="s">
        <v>1974</v>
      </c>
      <c r="F312" s="9" t="s">
        <v>1975</v>
      </c>
      <c r="G312" s="9" t="s">
        <v>1976</v>
      </c>
      <c r="H312" s="9" t="s">
        <v>1963</v>
      </c>
      <c r="I312" s="9" t="s">
        <v>1977</v>
      </c>
      <c r="J312" s="9" t="s">
        <v>1954</v>
      </c>
    </row>
    <row r="313" customFormat="false" ht="36" hidden="false" customHeight="true" outlineLevel="0" collapsed="false">
      <c r="A313" s="8" t="s">
        <v>1978</v>
      </c>
      <c r="B313" s="8" t="s">
        <v>1979</v>
      </c>
      <c r="C313" s="8"/>
      <c r="D313" s="8" t="s">
        <v>1954</v>
      </c>
      <c r="E313" s="8" t="s">
        <v>1980</v>
      </c>
      <c r="F313" s="8" t="s">
        <v>1981</v>
      </c>
      <c r="G313" s="8" t="s">
        <v>1982</v>
      </c>
      <c r="H313" s="8" t="s">
        <v>1957</v>
      </c>
      <c r="I313" s="8" t="s">
        <v>1983</v>
      </c>
      <c r="J313" s="8" t="s">
        <v>1984</v>
      </c>
    </row>
    <row r="314" customFormat="false" ht="36" hidden="false" customHeight="true" outlineLevel="0" collapsed="false">
      <c r="A314" s="9" t="s">
        <v>1985</v>
      </c>
      <c r="B314" s="9" t="s">
        <v>1986</v>
      </c>
      <c r="C314" s="9"/>
      <c r="D314" s="9" t="s">
        <v>1954</v>
      </c>
      <c r="E314" s="9" t="s">
        <v>1980</v>
      </c>
      <c r="F314" s="9" t="s">
        <v>1987</v>
      </c>
      <c r="G314" s="9" t="s">
        <v>1988</v>
      </c>
      <c r="H314" s="9" t="s">
        <v>1957</v>
      </c>
      <c r="I314" s="9" t="s">
        <v>1989</v>
      </c>
      <c r="J314" s="9" t="s">
        <v>1990</v>
      </c>
    </row>
    <row r="315" customFormat="false" ht="36" hidden="false" customHeight="true" outlineLevel="0" collapsed="false">
      <c r="A315" s="8" t="s">
        <v>1991</v>
      </c>
      <c r="B315" s="8" t="s">
        <v>1992</v>
      </c>
      <c r="C315" s="8"/>
      <c r="D315" s="8" t="s">
        <v>1954</v>
      </c>
      <c r="E315" s="8" t="s">
        <v>1980</v>
      </c>
      <c r="F315" s="8" t="s">
        <v>1993</v>
      </c>
      <c r="G315" s="8" t="s">
        <v>1994</v>
      </c>
      <c r="H315" s="8" t="s">
        <v>1995</v>
      </c>
      <c r="I315" s="8" t="s">
        <v>1996</v>
      </c>
      <c r="J315" s="8" t="s">
        <v>1980</v>
      </c>
    </row>
    <row r="316" customFormat="false" ht="36" hidden="false" customHeight="true" outlineLevel="0" collapsed="false">
      <c r="A316" s="9" t="s">
        <v>1997</v>
      </c>
      <c r="B316" s="9" t="s">
        <v>1998</v>
      </c>
      <c r="C316" s="9"/>
      <c r="D316" s="9" t="s">
        <v>1954</v>
      </c>
      <c r="E316" s="9" t="s">
        <v>1980</v>
      </c>
      <c r="F316" s="9" t="s">
        <v>1999</v>
      </c>
      <c r="G316" s="9" t="s">
        <v>2000</v>
      </c>
      <c r="H316" s="9" t="s">
        <v>2001</v>
      </c>
      <c r="I316" s="9" t="s">
        <v>2002</v>
      </c>
      <c r="J316" s="9" t="s">
        <v>2003</v>
      </c>
    </row>
    <row r="317" customFormat="false" ht="36" hidden="false" customHeight="true" outlineLevel="0" collapsed="false">
      <c r="A317" s="8" t="s">
        <v>2004</v>
      </c>
      <c r="B317" s="8" t="s">
        <v>2005</v>
      </c>
      <c r="C317" s="8" t="s">
        <v>2003</v>
      </c>
      <c r="D317" s="8" t="s">
        <v>1954</v>
      </c>
      <c r="E317" s="8" t="s">
        <v>2006</v>
      </c>
      <c r="F317" s="8" t="s">
        <v>2007</v>
      </c>
      <c r="G317" s="8" t="s">
        <v>2008</v>
      </c>
      <c r="H317" s="8" t="s">
        <v>1957</v>
      </c>
      <c r="I317" s="8" t="s">
        <v>2009</v>
      </c>
      <c r="J317" s="8" t="s">
        <v>2010</v>
      </c>
    </row>
    <row r="318" customFormat="false" ht="36" hidden="false" customHeight="true" outlineLevel="0" collapsed="false">
      <c r="A318" s="9" t="s">
        <v>2011</v>
      </c>
      <c r="B318" s="9" t="s">
        <v>2012</v>
      </c>
      <c r="C318" s="9"/>
      <c r="D318" s="9" t="s">
        <v>1954</v>
      </c>
      <c r="E318" s="9" t="s">
        <v>2006</v>
      </c>
      <c r="F318" s="9" t="s">
        <v>2013</v>
      </c>
      <c r="G318" s="9" t="s">
        <v>2014</v>
      </c>
      <c r="H318" s="9" t="s">
        <v>1957</v>
      </c>
      <c r="I318" s="9" t="s">
        <v>2015</v>
      </c>
      <c r="J318" s="9" t="s">
        <v>2016</v>
      </c>
    </row>
    <row r="319" customFormat="false" ht="36" hidden="false" customHeight="true" outlineLevel="0" collapsed="false">
      <c r="A319" s="8" t="s">
        <v>2017</v>
      </c>
      <c r="B319" s="8" t="s">
        <v>2016</v>
      </c>
      <c r="C319" s="8"/>
      <c r="D319" s="8" t="s">
        <v>1954</v>
      </c>
      <c r="E319" s="8" t="s">
        <v>2006</v>
      </c>
      <c r="F319" s="8" t="s">
        <v>2018</v>
      </c>
      <c r="G319" s="8" t="s">
        <v>2019</v>
      </c>
      <c r="H319" s="8" t="s">
        <v>2020</v>
      </c>
      <c r="I319" s="8" t="s">
        <v>2021</v>
      </c>
      <c r="J319" s="8" t="s">
        <v>2022</v>
      </c>
    </row>
    <row r="320" customFormat="false" ht="36" hidden="false" customHeight="true" outlineLevel="0" collapsed="false">
      <c r="A320" s="9" t="s">
        <v>2023</v>
      </c>
      <c r="B320" s="9" t="s">
        <v>2022</v>
      </c>
      <c r="C320" s="9"/>
      <c r="D320" s="9" t="s">
        <v>1954</v>
      </c>
      <c r="E320" s="9" t="s">
        <v>2006</v>
      </c>
      <c r="F320" s="9" t="s">
        <v>2024</v>
      </c>
      <c r="G320" s="9" t="s">
        <v>2025</v>
      </c>
      <c r="H320" s="9" t="s">
        <v>2026</v>
      </c>
      <c r="I320" s="9" t="s">
        <v>2027</v>
      </c>
      <c r="J320" s="9" t="s">
        <v>2028</v>
      </c>
    </row>
    <row r="321" customFormat="false" ht="36" hidden="false" customHeight="true" outlineLevel="0" collapsed="false">
      <c r="A321" s="8" t="s">
        <v>2029</v>
      </c>
      <c r="B321" s="8" t="s">
        <v>2030</v>
      </c>
      <c r="C321" s="8"/>
      <c r="D321" s="8" t="s">
        <v>1954</v>
      </c>
      <c r="E321" s="8" t="s">
        <v>2006</v>
      </c>
      <c r="F321" s="8" t="s">
        <v>2031</v>
      </c>
      <c r="G321" s="8" t="s">
        <v>2032</v>
      </c>
      <c r="H321" s="8" t="s">
        <v>2033</v>
      </c>
      <c r="I321" s="8" t="s">
        <v>2034</v>
      </c>
      <c r="J321" s="8" t="s">
        <v>2035</v>
      </c>
    </row>
    <row r="322" customFormat="false" ht="36" hidden="false" customHeight="true" outlineLevel="0" collapsed="false">
      <c r="A322" s="9" t="s">
        <v>2036</v>
      </c>
      <c r="B322" s="9" t="s">
        <v>2037</v>
      </c>
      <c r="C322" s="9"/>
      <c r="D322" s="9" t="s">
        <v>1954</v>
      </c>
      <c r="E322" s="9" t="s">
        <v>2006</v>
      </c>
      <c r="F322" s="9" t="s">
        <v>2038</v>
      </c>
      <c r="G322" s="9" t="s">
        <v>2039</v>
      </c>
      <c r="H322" s="9" t="s">
        <v>1957</v>
      </c>
      <c r="I322" s="9" t="s">
        <v>2040</v>
      </c>
      <c r="J322" s="9" t="s">
        <v>2030</v>
      </c>
    </row>
    <row r="323" customFormat="false" ht="36" hidden="false" customHeight="true" outlineLevel="0" collapsed="false">
      <c r="A323" s="8" t="s">
        <v>2041</v>
      </c>
      <c r="B323" s="8" t="s">
        <v>2042</v>
      </c>
      <c r="C323" s="8"/>
      <c r="D323" s="8" t="s">
        <v>1954</v>
      </c>
      <c r="E323" s="8" t="s">
        <v>2006</v>
      </c>
      <c r="F323" s="8" t="s">
        <v>2043</v>
      </c>
      <c r="G323" s="8" t="s">
        <v>2044</v>
      </c>
      <c r="H323" s="8" t="s">
        <v>1957</v>
      </c>
      <c r="I323" s="8" t="s">
        <v>2045</v>
      </c>
      <c r="J323" s="8" t="s">
        <v>2046</v>
      </c>
    </row>
    <row r="324" customFormat="false" ht="36" hidden="false" customHeight="true" outlineLevel="0" collapsed="false">
      <c r="A324" s="9" t="s">
        <v>2047</v>
      </c>
      <c r="B324" s="9" t="s">
        <v>2048</v>
      </c>
      <c r="C324" s="9"/>
      <c r="D324" s="9" t="s">
        <v>1954</v>
      </c>
      <c r="E324" s="9" t="s">
        <v>1801</v>
      </c>
      <c r="F324" s="9" t="s">
        <v>2049</v>
      </c>
      <c r="G324" s="9" t="s">
        <v>2050</v>
      </c>
      <c r="H324" s="9" t="s">
        <v>2051</v>
      </c>
      <c r="I324" s="9" t="s">
        <v>2052</v>
      </c>
      <c r="J324" s="9" t="s">
        <v>2053</v>
      </c>
    </row>
    <row r="325" customFormat="false" ht="36" hidden="false" customHeight="true" outlineLevel="0" collapsed="false">
      <c r="A325" s="8" t="s">
        <v>2054</v>
      </c>
      <c r="B325" s="8" t="s">
        <v>2055</v>
      </c>
      <c r="C325" s="8" t="s">
        <v>2056</v>
      </c>
      <c r="D325" s="8" t="s">
        <v>1954</v>
      </c>
      <c r="E325" s="8" t="s">
        <v>1840</v>
      </c>
      <c r="F325" s="8" t="s">
        <v>2057</v>
      </c>
      <c r="G325" s="8" t="s">
        <v>2058</v>
      </c>
      <c r="H325" s="8" t="s">
        <v>1957</v>
      </c>
      <c r="I325" s="8" t="s">
        <v>2059</v>
      </c>
      <c r="J325" s="8" t="s">
        <v>2060</v>
      </c>
    </row>
    <row r="326" customFormat="false" ht="36" hidden="false" customHeight="true" outlineLevel="0" collapsed="false">
      <c r="A326" s="9" t="s">
        <v>2061</v>
      </c>
      <c r="B326" s="9" t="s">
        <v>2062</v>
      </c>
      <c r="C326" s="9" t="s">
        <v>2060</v>
      </c>
      <c r="D326" s="9" t="s">
        <v>1954</v>
      </c>
      <c r="E326" s="9" t="s">
        <v>1840</v>
      </c>
      <c r="F326" s="9" t="s">
        <v>2063</v>
      </c>
      <c r="G326" s="9" t="s">
        <v>2064</v>
      </c>
      <c r="H326" s="9" t="s">
        <v>2065</v>
      </c>
      <c r="I326" s="9" t="s">
        <v>2066</v>
      </c>
      <c r="J326" s="9" t="s">
        <v>2056</v>
      </c>
    </row>
    <row r="327" customFormat="false" ht="36" hidden="false" customHeight="true" outlineLevel="0" collapsed="false">
      <c r="A327" s="8" t="s">
        <v>2067</v>
      </c>
      <c r="B327" s="8" t="s">
        <v>2068</v>
      </c>
      <c r="C327" s="8"/>
      <c r="D327" s="8" t="s">
        <v>1954</v>
      </c>
      <c r="E327" s="8" t="s">
        <v>1812</v>
      </c>
      <c r="F327" s="8" t="s">
        <v>2069</v>
      </c>
      <c r="G327" s="8" t="s">
        <v>2070</v>
      </c>
      <c r="H327" s="8" t="s">
        <v>1957</v>
      </c>
      <c r="I327" s="8" t="s">
        <v>2071</v>
      </c>
      <c r="J327" s="8" t="s">
        <v>1809</v>
      </c>
    </row>
    <row r="328" customFormat="false" ht="36" hidden="false" customHeight="true" outlineLevel="0" collapsed="false">
      <c r="A328" s="9" t="s">
        <v>2072</v>
      </c>
      <c r="B328" s="9" t="s">
        <v>2073</v>
      </c>
      <c r="C328" s="9"/>
      <c r="D328" s="9" t="s">
        <v>1954</v>
      </c>
      <c r="E328" s="9" t="s">
        <v>984</v>
      </c>
      <c r="F328" s="9" t="s">
        <v>2074</v>
      </c>
      <c r="G328" s="9" t="s">
        <v>2075</v>
      </c>
      <c r="H328" s="9" t="s">
        <v>1957</v>
      </c>
      <c r="I328" s="9" t="s">
        <v>2076</v>
      </c>
      <c r="J328" s="9" t="s">
        <v>2077</v>
      </c>
    </row>
    <row r="329" customFormat="false" ht="36" hidden="false" customHeight="true" outlineLevel="0" collapsed="false">
      <c r="A329" s="8" t="s">
        <v>2078</v>
      </c>
      <c r="B329" s="8" t="s">
        <v>2079</v>
      </c>
      <c r="C329" s="8" t="s">
        <v>2077</v>
      </c>
      <c r="D329" s="8" t="s">
        <v>1954</v>
      </c>
      <c r="E329" s="8" t="s">
        <v>1774</v>
      </c>
      <c r="F329" s="8" t="s">
        <v>2080</v>
      </c>
      <c r="G329" s="8" t="s">
        <v>2081</v>
      </c>
      <c r="H329" s="8" t="s">
        <v>2082</v>
      </c>
      <c r="I329" s="8" t="s">
        <v>2083</v>
      </c>
      <c r="J329" s="8" t="s">
        <v>2084</v>
      </c>
    </row>
    <row r="330" customFormat="false" ht="36" hidden="false" customHeight="true" outlineLevel="0" collapsed="false">
      <c r="A330" s="9" t="s">
        <v>2085</v>
      </c>
      <c r="B330" s="9" t="s">
        <v>2086</v>
      </c>
      <c r="C330" s="9" t="s">
        <v>2084</v>
      </c>
      <c r="D330" s="9" t="s">
        <v>1954</v>
      </c>
      <c r="E330" s="9" t="s">
        <v>1774</v>
      </c>
      <c r="F330" s="9" t="s">
        <v>2087</v>
      </c>
      <c r="G330" s="9" t="s">
        <v>2088</v>
      </c>
      <c r="H330" s="9" t="s">
        <v>2089</v>
      </c>
      <c r="I330" s="9" t="s">
        <v>2090</v>
      </c>
      <c r="J330" s="9" t="s">
        <v>2077</v>
      </c>
    </row>
    <row r="331" customFormat="false" ht="36" hidden="false" customHeight="true" outlineLevel="0" collapsed="false">
      <c r="A331" s="8" t="s">
        <v>2091</v>
      </c>
      <c r="B331" s="8" t="s">
        <v>2092</v>
      </c>
      <c r="C331" s="8" t="s">
        <v>2093</v>
      </c>
      <c r="D331" s="8" t="s">
        <v>1954</v>
      </c>
      <c r="E331" s="8" t="s">
        <v>1774</v>
      </c>
      <c r="F331" s="8" t="s">
        <v>2094</v>
      </c>
      <c r="G331" s="8" t="s">
        <v>2095</v>
      </c>
      <c r="H331" s="8" t="s">
        <v>2096</v>
      </c>
      <c r="I331" s="8" t="s">
        <v>2097</v>
      </c>
      <c r="J331" s="8" t="s">
        <v>1965</v>
      </c>
    </row>
    <row r="332" customFormat="false" ht="36" hidden="false" customHeight="true" outlineLevel="0" collapsed="false">
      <c r="A332" s="9" t="s">
        <v>2098</v>
      </c>
      <c r="B332" s="9" t="s">
        <v>1965</v>
      </c>
      <c r="C332" s="9"/>
      <c r="D332" s="9" t="s">
        <v>1954</v>
      </c>
      <c r="E332" s="9" t="s">
        <v>72</v>
      </c>
      <c r="F332" s="9" t="s">
        <v>2099</v>
      </c>
      <c r="G332" s="9" t="s">
        <v>2100</v>
      </c>
      <c r="H332" s="9" t="s">
        <v>1957</v>
      </c>
      <c r="I332" s="9" t="s">
        <v>2101</v>
      </c>
      <c r="J332" s="9" t="s">
        <v>1960</v>
      </c>
    </row>
    <row r="333" customFormat="false" ht="36" hidden="false" customHeight="true" outlineLevel="0" collapsed="false">
      <c r="A333" s="8" t="s">
        <v>2102</v>
      </c>
      <c r="B333" s="8" t="s">
        <v>2103</v>
      </c>
      <c r="C333" s="8"/>
      <c r="D333" s="8" t="s">
        <v>1954</v>
      </c>
      <c r="E333" s="8" t="s">
        <v>72</v>
      </c>
      <c r="F333" s="8" t="s">
        <v>2104</v>
      </c>
      <c r="G333" s="8" t="s">
        <v>2105</v>
      </c>
      <c r="H333" s="8" t="s">
        <v>2106</v>
      </c>
      <c r="I333" s="8" t="s">
        <v>2107</v>
      </c>
      <c r="J333" s="8" t="s">
        <v>2108</v>
      </c>
    </row>
    <row r="334" customFormat="false" ht="36" hidden="false" customHeight="true" outlineLevel="0" collapsed="false">
      <c r="A334" s="9" t="s">
        <v>2109</v>
      </c>
      <c r="B334" s="9" t="s">
        <v>2110</v>
      </c>
      <c r="C334" s="9"/>
      <c r="D334" s="9" t="s">
        <v>1954</v>
      </c>
      <c r="E334" s="9" t="s">
        <v>2006</v>
      </c>
      <c r="F334" s="9" t="s">
        <v>2111</v>
      </c>
      <c r="G334" s="9" t="s">
        <v>2112</v>
      </c>
      <c r="H334" s="9" t="s">
        <v>1957</v>
      </c>
      <c r="I334" s="9" t="s">
        <v>2113</v>
      </c>
      <c r="J334" s="9" t="s">
        <v>2028</v>
      </c>
    </row>
    <row r="335" customFormat="false" ht="36" hidden="false" customHeight="true" outlineLevel="0" collapsed="false">
      <c r="A335" s="8" t="s">
        <v>2114</v>
      </c>
      <c r="B335" s="8" t="s">
        <v>2115</v>
      </c>
      <c r="C335" s="8"/>
      <c r="D335" s="8" t="s">
        <v>1954</v>
      </c>
      <c r="E335" s="8" t="s">
        <v>1980</v>
      </c>
      <c r="F335" s="8" t="s">
        <v>2116</v>
      </c>
      <c r="G335" s="8" t="s">
        <v>2117</v>
      </c>
      <c r="H335" s="8" t="s">
        <v>2096</v>
      </c>
      <c r="I335" s="8" t="s">
        <v>2118</v>
      </c>
      <c r="J335" s="8" t="s">
        <v>1980</v>
      </c>
    </row>
    <row r="336" customFormat="false" ht="36" hidden="false" customHeight="true" outlineLevel="0" collapsed="false">
      <c r="A336" s="9" t="s">
        <v>2119</v>
      </c>
      <c r="B336" s="9" t="s">
        <v>2120</v>
      </c>
      <c r="C336" s="9"/>
      <c r="D336" s="9" t="s">
        <v>1954</v>
      </c>
      <c r="E336" s="9" t="s">
        <v>1980</v>
      </c>
      <c r="F336" s="9" t="s">
        <v>2121</v>
      </c>
      <c r="G336" s="9" t="s">
        <v>2122</v>
      </c>
      <c r="H336" s="9" t="s">
        <v>2096</v>
      </c>
      <c r="I336" s="9" t="s">
        <v>2123</v>
      </c>
      <c r="J336" s="9" t="s">
        <v>2124</v>
      </c>
    </row>
    <row r="337" customFormat="false" ht="36" hidden="false" customHeight="true" outlineLevel="0" collapsed="false">
      <c r="A337" s="8" t="s">
        <v>2125</v>
      </c>
      <c r="B337" s="8" t="s">
        <v>2126</v>
      </c>
      <c r="C337" s="8"/>
      <c r="D337" s="8" t="s">
        <v>1954</v>
      </c>
      <c r="E337" s="8" t="s">
        <v>1980</v>
      </c>
      <c r="F337" s="8" t="s">
        <v>2127</v>
      </c>
      <c r="G337" s="8" t="s">
        <v>2128</v>
      </c>
      <c r="H337" s="8" t="s">
        <v>2129</v>
      </c>
      <c r="I337" s="8" t="s">
        <v>2130</v>
      </c>
      <c r="J337" s="8" t="s">
        <v>1984</v>
      </c>
    </row>
    <row r="338" customFormat="false" ht="36" hidden="false" customHeight="true" outlineLevel="0" collapsed="false">
      <c r="A338" s="9" t="s">
        <v>2131</v>
      </c>
      <c r="B338" s="9" t="s">
        <v>2132</v>
      </c>
      <c r="C338" s="9"/>
      <c r="D338" s="9" t="s">
        <v>1954</v>
      </c>
      <c r="E338" s="9" t="s">
        <v>1980</v>
      </c>
      <c r="F338" s="9" t="s">
        <v>2133</v>
      </c>
      <c r="G338" s="9" t="s">
        <v>2134</v>
      </c>
      <c r="H338" s="9" t="s">
        <v>2135</v>
      </c>
      <c r="I338" s="9" t="s">
        <v>2136</v>
      </c>
      <c r="J338" s="9" t="s">
        <v>1903</v>
      </c>
    </row>
    <row r="339" customFormat="false" ht="36" hidden="false" customHeight="true" outlineLevel="0" collapsed="false">
      <c r="A339" s="8" t="s">
        <v>2137</v>
      </c>
      <c r="B339" s="8" t="s">
        <v>2138</v>
      </c>
      <c r="C339" s="8"/>
      <c r="D339" s="8" t="s">
        <v>1954</v>
      </c>
      <c r="E339" s="8" t="s">
        <v>1974</v>
      </c>
      <c r="F339" s="8" t="s">
        <v>2139</v>
      </c>
      <c r="G339" s="8" t="s">
        <v>2140</v>
      </c>
      <c r="H339" s="8" t="s">
        <v>2141</v>
      </c>
      <c r="I339" s="8" t="s">
        <v>2142</v>
      </c>
      <c r="J339" s="8" t="s">
        <v>2003</v>
      </c>
    </row>
    <row r="340" customFormat="false" ht="36" hidden="false" customHeight="true" outlineLevel="0" collapsed="false">
      <c r="A340" s="9" t="s">
        <v>2143</v>
      </c>
      <c r="B340" s="9" t="s">
        <v>2144</v>
      </c>
      <c r="C340" s="9"/>
      <c r="D340" s="9" t="s">
        <v>1954</v>
      </c>
      <c r="E340" s="9" t="s">
        <v>1974</v>
      </c>
      <c r="F340" s="9" t="s">
        <v>2145</v>
      </c>
      <c r="G340" s="9" t="s">
        <v>2146</v>
      </c>
      <c r="H340" s="9" t="s">
        <v>2147</v>
      </c>
      <c r="I340" s="9" t="s">
        <v>2148</v>
      </c>
      <c r="J340" s="9" t="s">
        <v>2046</v>
      </c>
    </row>
    <row r="341" customFormat="false" ht="36" hidden="false" customHeight="true" outlineLevel="0" collapsed="false">
      <c r="A341" s="8" t="s">
        <v>2149</v>
      </c>
      <c r="B341" s="8" t="s">
        <v>2150</v>
      </c>
      <c r="C341" s="8"/>
      <c r="D341" s="8" t="s">
        <v>1954</v>
      </c>
      <c r="E341" s="8" t="s">
        <v>1980</v>
      </c>
      <c r="F341" s="8" t="s">
        <v>2151</v>
      </c>
      <c r="G341" s="8" t="s">
        <v>2152</v>
      </c>
      <c r="H341" s="8" t="s">
        <v>1957</v>
      </c>
      <c r="I341" s="8" t="s">
        <v>2153</v>
      </c>
      <c r="J341" s="8" t="s">
        <v>2154</v>
      </c>
    </row>
    <row r="342" customFormat="false" ht="36" hidden="false" customHeight="true" outlineLevel="0" collapsed="false">
      <c r="A342" s="9" t="s">
        <v>2155</v>
      </c>
      <c r="B342" s="9" t="s">
        <v>2156</v>
      </c>
      <c r="C342" s="9"/>
      <c r="D342" s="9" t="s">
        <v>1954</v>
      </c>
      <c r="E342" s="9" t="s">
        <v>1980</v>
      </c>
      <c r="F342" s="9" t="s">
        <v>2157</v>
      </c>
      <c r="G342" s="9" t="s">
        <v>2158</v>
      </c>
      <c r="H342" s="9" t="s">
        <v>2159</v>
      </c>
      <c r="I342" s="9" t="s">
        <v>2160</v>
      </c>
      <c r="J342" s="9" t="s">
        <v>2150</v>
      </c>
    </row>
    <row r="343" customFormat="false" ht="36" hidden="false" customHeight="true" outlineLevel="0" collapsed="false">
      <c r="A343" s="8" t="s">
        <v>2161</v>
      </c>
      <c r="B343" s="8" t="s">
        <v>2162</v>
      </c>
      <c r="C343" s="8"/>
      <c r="D343" s="8" t="s">
        <v>1954</v>
      </c>
      <c r="E343" s="8" t="s">
        <v>1980</v>
      </c>
      <c r="F343" s="8" t="s">
        <v>2163</v>
      </c>
      <c r="G343" s="8" t="s">
        <v>2164</v>
      </c>
      <c r="H343" s="8" t="s">
        <v>2165</v>
      </c>
      <c r="I343" s="8" t="s">
        <v>2166</v>
      </c>
      <c r="J343" s="8" t="s">
        <v>1984</v>
      </c>
    </row>
    <row r="344" customFormat="false" ht="36" hidden="false" customHeight="true" outlineLevel="0" collapsed="false">
      <c r="A344" s="9" t="s">
        <v>2167</v>
      </c>
      <c r="B344" s="9" t="s">
        <v>2168</v>
      </c>
      <c r="C344" s="9" t="s">
        <v>2169</v>
      </c>
      <c r="D344" s="9" t="s">
        <v>1954</v>
      </c>
      <c r="E344" s="9" t="s">
        <v>1336</v>
      </c>
      <c r="F344" s="9" t="s">
        <v>2170</v>
      </c>
      <c r="G344" s="9" t="s">
        <v>2171</v>
      </c>
      <c r="H344" s="9" t="s">
        <v>1957</v>
      </c>
      <c r="I344" s="9" t="s">
        <v>2172</v>
      </c>
      <c r="J344" s="9" t="s">
        <v>1954</v>
      </c>
    </row>
    <row r="345" customFormat="false" ht="36" hidden="false" customHeight="true" outlineLevel="0" collapsed="false">
      <c r="A345" s="8" t="s">
        <v>2173</v>
      </c>
      <c r="B345" s="8" t="s">
        <v>2174</v>
      </c>
      <c r="C345" s="8"/>
      <c r="D345" s="8" t="s">
        <v>1954</v>
      </c>
      <c r="E345" s="8" t="s">
        <v>2175</v>
      </c>
      <c r="F345" s="8" t="s">
        <v>2176</v>
      </c>
      <c r="G345" s="8" t="s">
        <v>2177</v>
      </c>
      <c r="H345" s="8" t="s">
        <v>1957</v>
      </c>
      <c r="I345" s="8" t="s">
        <v>2178</v>
      </c>
      <c r="J345" s="8" t="s">
        <v>2056</v>
      </c>
    </row>
    <row r="346" customFormat="false" ht="36" hidden="false" customHeight="true" outlineLevel="0" collapsed="false">
      <c r="A346" s="9" t="s">
        <v>2179</v>
      </c>
      <c r="B346" s="9" t="s">
        <v>2180</v>
      </c>
      <c r="C346" s="9"/>
      <c r="D346" s="9" t="s">
        <v>1954</v>
      </c>
      <c r="E346" s="9" t="s">
        <v>2175</v>
      </c>
      <c r="F346" s="9" t="s">
        <v>2181</v>
      </c>
      <c r="G346" s="9" t="s">
        <v>2182</v>
      </c>
      <c r="H346" s="9" t="s">
        <v>1957</v>
      </c>
      <c r="I346" s="9" t="s">
        <v>2183</v>
      </c>
      <c r="J346" s="9" t="s">
        <v>2077</v>
      </c>
    </row>
    <row r="347" customFormat="false" ht="36" hidden="false" customHeight="true" outlineLevel="0" collapsed="false">
      <c r="A347" s="8" t="s">
        <v>2184</v>
      </c>
      <c r="B347" s="8" t="s">
        <v>2185</v>
      </c>
      <c r="C347" s="8"/>
      <c r="D347" s="8" t="s">
        <v>1954</v>
      </c>
      <c r="E347" s="8" t="s">
        <v>2175</v>
      </c>
      <c r="F347" s="8" t="s">
        <v>2186</v>
      </c>
      <c r="G347" s="8" t="s">
        <v>2187</v>
      </c>
      <c r="H347" s="8" t="s">
        <v>1957</v>
      </c>
      <c r="I347" s="8" t="s">
        <v>2188</v>
      </c>
      <c r="J347" s="8" t="s">
        <v>1809</v>
      </c>
    </row>
    <row r="348" customFormat="false" ht="36" hidden="false" customHeight="true" outlineLevel="0" collapsed="false">
      <c r="A348" s="9" t="s">
        <v>2189</v>
      </c>
      <c r="B348" s="9" t="s">
        <v>2190</v>
      </c>
      <c r="C348" s="9" t="s">
        <v>1957</v>
      </c>
      <c r="D348" s="9" t="s">
        <v>1954</v>
      </c>
      <c r="E348" s="9" t="s">
        <v>1405</v>
      </c>
      <c r="F348" s="9" t="s">
        <v>2191</v>
      </c>
      <c r="G348" s="9" t="s">
        <v>2192</v>
      </c>
      <c r="H348" s="9" t="s">
        <v>2193</v>
      </c>
      <c r="I348" s="9" t="s">
        <v>2194</v>
      </c>
      <c r="J348" s="9" t="s">
        <v>66</v>
      </c>
    </row>
    <row r="349" customFormat="false" ht="36" hidden="false" customHeight="true" outlineLevel="0" collapsed="false">
      <c r="A349" s="8" t="s">
        <v>2195</v>
      </c>
      <c r="B349" s="8" t="s">
        <v>2196</v>
      </c>
      <c r="C349" s="8"/>
      <c r="D349" s="8" t="s">
        <v>1954</v>
      </c>
      <c r="E349" s="8" t="s">
        <v>1974</v>
      </c>
      <c r="F349" s="8" t="s">
        <v>2197</v>
      </c>
      <c r="G349" s="8" t="s">
        <v>2198</v>
      </c>
      <c r="H349" s="8" t="s">
        <v>2199</v>
      </c>
      <c r="I349" s="8" t="s">
        <v>2200</v>
      </c>
      <c r="J349" s="8" t="s">
        <v>1954</v>
      </c>
    </row>
    <row r="350" customFormat="false" ht="36" hidden="false" customHeight="true" outlineLevel="0" collapsed="false">
      <c r="A350" s="9" t="s">
        <v>2201</v>
      </c>
      <c r="B350" s="9" t="s">
        <v>2202</v>
      </c>
      <c r="C350" s="9"/>
      <c r="D350" s="9" t="s">
        <v>1954</v>
      </c>
      <c r="E350" s="9" t="s">
        <v>2203</v>
      </c>
      <c r="F350" s="9" t="s">
        <v>2204</v>
      </c>
      <c r="G350" s="9" t="s">
        <v>2205</v>
      </c>
      <c r="H350" s="9" t="s">
        <v>2206</v>
      </c>
      <c r="I350" s="9" t="s">
        <v>2207</v>
      </c>
      <c r="J350" s="9" t="s">
        <v>1957</v>
      </c>
    </row>
    <row r="351" customFormat="false" ht="36" hidden="false" customHeight="true" outlineLevel="0" collapsed="false">
      <c r="A351" s="8" t="s">
        <v>2208</v>
      </c>
      <c r="B351" s="8" t="s">
        <v>2209</v>
      </c>
      <c r="C351" s="8"/>
      <c r="D351" s="8" t="s">
        <v>1954</v>
      </c>
      <c r="E351" s="8" t="s">
        <v>2203</v>
      </c>
      <c r="F351" s="8" t="s">
        <v>2210</v>
      </c>
      <c r="G351" s="8" t="s">
        <v>2211</v>
      </c>
      <c r="H351" s="8" t="s">
        <v>2212</v>
      </c>
      <c r="I351" s="8" t="s">
        <v>2213</v>
      </c>
      <c r="J351" s="8" t="s">
        <v>1903</v>
      </c>
    </row>
    <row r="352" customFormat="false" ht="36" hidden="false" customHeight="true" outlineLevel="0" collapsed="false">
      <c r="A352" s="9" t="s">
        <v>2214</v>
      </c>
      <c r="B352" s="9" t="s">
        <v>2215</v>
      </c>
      <c r="C352" s="9"/>
      <c r="D352" s="9" t="s">
        <v>1954</v>
      </c>
      <c r="E352" s="9" t="s">
        <v>477</v>
      </c>
      <c r="F352" s="9" t="s">
        <v>2216</v>
      </c>
      <c r="G352" s="9" t="s">
        <v>2217</v>
      </c>
      <c r="H352" s="9" t="s">
        <v>2218</v>
      </c>
      <c r="I352" s="9" t="s">
        <v>2219</v>
      </c>
      <c r="J352" s="9" t="s">
        <v>536</v>
      </c>
    </row>
    <row r="353" customFormat="false" ht="36" hidden="false" customHeight="true" outlineLevel="0" collapsed="false">
      <c r="A353" s="8" t="s">
        <v>2220</v>
      </c>
      <c r="B353" s="8" t="s">
        <v>2221</v>
      </c>
      <c r="C353" s="8" t="s">
        <v>2222</v>
      </c>
      <c r="D353" s="8" t="s">
        <v>1954</v>
      </c>
      <c r="E353" s="8" t="s">
        <v>477</v>
      </c>
      <c r="F353" s="8" t="s">
        <v>2223</v>
      </c>
      <c r="G353" s="8" t="s">
        <v>2224</v>
      </c>
      <c r="H353" s="8" t="s">
        <v>2225</v>
      </c>
      <c r="I353" s="8" t="s">
        <v>2226</v>
      </c>
      <c r="J353" s="8" t="s">
        <v>1903</v>
      </c>
    </row>
  </sheetData>
  <autoFilter ref="A4:J353"/>
  <mergeCells count="2">
    <mergeCell ref="A1:J1"/>
    <mergeCell ref="A2:J2"/>
  </mergeCell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&amp;LVATM ATC Glossary</oddHeader>
    <oddFooter>&amp;RPage &amp;P / &amp;N</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6" min="6" style="0" width="62"/>
    <col collapsed="false" customWidth="true" hidden="false" outlineLevel="0" max="7" min="7" style="0" width="36"/>
    <col collapsed="false" customWidth="true" hidden="false" outlineLevel="0" max="8" min="8" style="0" width="28"/>
    <col collapsed="false" customWidth="true" hidden="false" outlineLevel="0" max="9" min="9" style="0" width="36"/>
    <col collapsed="false" customWidth="true" hidden="false" outlineLevel="0" max="10" min="10" style="0" width="22"/>
  </cols>
  <sheetData>
    <row r="1" customFormat="false" ht="27.75" hidden="false" customHeight="true" outlineLevel="0" collapsed="false">
      <c r="A1" s="1" t="s">
        <v>2227</v>
      </c>
      <c r="B1" s="1"/>
      <c r="C1" s="1"/>
      <c r="D1" s="1"/>
      <c r="E1" s="1"/>
      <c r="F1" s="1"/>
      <c r="G1" s="1"/>
      <c r="H1" s="1"/>
      <c r="I1" s="1"/>
      <c r="J1" s="1"/>
    </row>
    <row r="2" customFormat="false" ht="18" hidden="false" customHeight="true" outlineLevel="0" collapsed="false">
      <c r="A2" s="2" t="s">
        <v>1</v>
      </c>
      <c r="B2" s="2"/>
      <c r="C2" s="2"/>
      <c r="D2" s="2"/>
      <c r="E2" s="2"/>
      <c r="F2" s="2"/>
      <c r="G2" s="2"/>
      <c r="H2" s="2"/>
      <c r="I2" s="2"/>
      <c r="J2" s="2"/>
    </row>
    <row r="4" customFormat="false" ht="15" hidden="false" customHeight="false" outlineLevel="0" collapsed="false">
      <c r="A4" s="10" t="s">
        <v>34</v>
      </c>
      <c r="B4" s="10" t="s">
        <v>35</v>
      </c>
      <c r="C4" s="10" t="s">
        <v>36</v>
      </c>
      <c r="D4" s="10" t="s">
        <v>37</v>
      </c>
      <c r="E4" s="10" t="s">
        <v>38</v>
      </c>
      <c r="F4" s="10" t="s">
        <v>39</v>
      </c>
      <c r="G4" s="10" t="s">
        <v>40</v>
      </c>
      <c r="H4" s="10" t="s">
        <v>41</v>
      </c>
      <c r="I4" s="10" t="s">
        <v>42</v>
      </c>
      <c r="J4" s="10" t="s">
        <v>43</v>
      </c>
    </row>
    <row r="5" customFormat="false" ht="36" hidden="false" customHeight="true" outlineLevel="0" collapsed="false">
      <c r="A5" s="8" t="s">
        <v>44</v>
      </c>
      <c r="B5" s="8" t="s">
        <v>45</v>
      </c>
      <c r="C5" s="8" t="s">
        <v>46</v>
      </c>
      <c r="D5" s="8" t="s">
        <v>46</v>
      </c>
      <c r="E5" s="8" t="s">
        <v>47</v>
      </c>
      <c r="F5" s="8" t="s">
        <v>48</v>
      </c>
      <c r="G5" s="8" t="s">
        <v>49</v>
      </c>
      <c r="H5" s="8" t="s">
        <v>50</v>
      </c>
      <c r="I5" s="8" t="s">
        <v>51</v>
      </c>
      <c r="J5" s="8" t="s">
        <v>52</v>
      </c>
    </row>
    <row r="6" customFormat="false" ht="36" hidden="false" customHeight="true" outlineLevel="0" collapsed="false">
      <c r="A6" s="9" t="s">
        <v>53</v>
      </c>
      <c r="B6" s="9" t="s">
        <v>54</v>
      </c>
      <c r="C6" s="9" t="s">
        <v>55</v>
      </c>
      <c r="D6" s="9" t="s">
        <v>46</v>
      </c>
      <c r="E6" s="9" t="s">
        <v>47</v>
      </c>
      <c r="F6" s="9" t="s">
        <v>56</v>
      </c>
      <c r="G6" s="9" t="s">
        <v>57</v>
      </c>
      <c r="H6" s="9" t="s">
        <v>58</v>
      </c>
      <c r="I6" s="9" t="s">
        <v>59</v>
      </c>
      <c r="J6" s="9" t="s">
        <v>60</v>
      </c>
    </row>
    <row r="7" customFormat="false" ht="36" hidden="false" customHeight="true" outlineLevel="0" collapsed="false">
      <c r="A7" s="8" t="s">
        <v>61</v>
      </c>
      <c r="B7" s="8" t="s">
        <v>62</v>
      </c>
      <c r="C7" s="8" t="s">
        <v>63</v>
      </c>
      <c r="D7" s="8" t="s">
        <v>46</v>
      </c>
      <c r="E7" s="8" t="s">
        <v>47</v>
      </c>
      <c r="F7" s="8" t="s">
        <v>64</v>
      </c>
      <c r="G7" s="8" t="s">
        <v>65</v>
      </c>
      <c r="H7" s="8" t="s">
        <v>66</v>
      </c>
      <c r="I7" s="8" t="s">
        <v>67</v>
      </c>
      <c r="J7" s="8" t="s">
        <v>68</v>
      </c>
    </row>
    <row r="8" customFormat="false" ht="36" hidden="false" customHeight="true" outlineLevel="0" collapsed="false">
      <c r="A8" s="9" t="s">
        <v>69</v>
      </c>
      <c r="B8" s="9" t="s">
        <v>70</v>
      </c>
      <c r="C8" s="9" t="s">
        <v>71</v>
      </c>
      <c r="D8" s="9" t="s">
        <v>46</v>
      </c>
      <c r="E8" s="9" t="s">
        <v>72</v>
      </c>
      <c r="F8" s="9" t="s">
        <v>73</v>
      </c>
      <c r="G8" s="9" t="s">
        <v>74</v>
      </c>
      <c r="H8" s="9" t="s">
        <v>75</v>
      </c>
      <c r="I8" s="9" t="s">
        <v>76</v>
      </c>
      <c r="J8" s="9" t="s">
        <v>77</v>
      </c>
    </row>
    <row r="9" customFormat="false" ht="36" hidden="false" customHeight="true" outlineLevel="0" collapsed="false">
      <c r="A9" s="8" t="s">
        <v>78</v>
      </c>
      <c r="B9" s="8" t="s">
        <v>79</v>
      </c>
      <c r="C9" s="8" t="s">
        <v>80</v>
      </c>
      <c r="D9" s="8" t="s">
        <v>46</v>
      </c>
      <c r="E9" s="8" t="s">
        <v>81</v>
      </c>
      <c r="F9" s="8" t="s">
        <v>82</v>
      </c>
      <c r="G9" s="8" t="s">
        <v>83</v>
      </c>
      <c r="H9" s="8" t="s">
        <v>84</v>
      </c>
      <c r="I9" s="8" t="s">
        <v>85</v>
      </c>
      <c r="J9" s="8" t="s">
        <v>86</v>
      </c>
    </row>
    <row r="10" customFormat="false" ht="36" hidden="false" customHeight="true" outlineLevel="0" collapsed="false">
      <c r="A10" s="9" t="s">
        <v>87</v>
      </c>
      <c r="B10" s="9" t="s">
        <v>88</v>
      </c>
      <c r="C10" s="9" t="s">
        <v>80</v>
      </c>
      <c r="D10" s="9" t="s">
        <v>46</v>
      </c>
      <c r="E10" s="9" t="s">
        <v>81</v>
      </c>
      <c r="F10" s="9" t="s">
        <v>89</v>
      </c>
      <c r="G10" s="9" t="s">
        <v>90</v>
      </c>
      <c r="H10" s="9" t="s">
        <v>66</v>
      </c>
      <c r="I10" s="9" t="s">
        <v>91</v>
      </c>
      <c r="J10" s="9" t="s">
        <v>92</v>
      </c>
    </row>
    <row r="11" customFormat="false" ht="36" hidden="false" customHeight="true" outlineLevel="0" collapsed="false">
      <c r="A11" s="8" t="s">
        <v>93</v>
      </c>
      <c r="B11" s="8" t="s">
        <v>94</v>
      </c>
      <c r="C11" s="8" t="s">
        <v>95</v>
      </c>
      <c r="D11" s="8" t="s">
        <v>46</v>
      </c>
      <c r="E11" s="8" t="s">
        <v>81</v>
      </c>
      <c r="F11" s="8" t="s">
        <v>96</v>
      </c>
      <c r="G11" s="8" t="s">
        <v>97</v>
      </c>
      <c r="H11" s="8" t="s">
        <v>84</v>
      </c>
      <c r="I11" s="8" t="s">
        <v>98</v>
      </c>
      <c r="J11" s="8" t="s">
        <v>99</v>
      </c>
    </row>
    <row r="12" customFormat="false" ht="36" hidden="false" customHeight="true" outlineLevel="0" collapsed="false">
      <c r="A12" s="9" t="s">
        <v>100</v>
      </c>
      <c r="B12" s="9" t="s">
        <v>101</v>
      </c>
      <c r="C12" s="9" t="s">
        <v>95</v>
      </c>
      <c r="D12" s="9" t="s">
        <v>46</v>
      </c>
      <c r="E12" s="9" t="s">
        <v>81</v>
      </c>
      <c r="F12" s="9" t="s">
        <v>102</v>
      </c>
      <c r="G12" s="9" t="s">
        <v>103</v>
      </c>
      <c r="H12" s="9" t="s">
        <v>66</v>
      </c>
      <c r="I12" s="9" t="s">
        <v>104</v>
      </c>
      <c r="J12" s="9" t="s">
        <v>105</v>
      </c>
    </row>
    <row r="13" customFormat="false" ht="36" hidden="false" customHeight="true" outlineLevel="0" collapsed="false">
      <c r="A13" s="8" t="s">
        <v>106</v>
      </c>
      <c r="B13" s="8" t="s">
        <v>107</v>
      </c>
      <c r="C13" s="8" t="s">
        <v>108</v>
      </c>
      <c r="D13" s="8" t="s">
        <v>46</v>
      </c>
      <c r="E13" s="8" t="s">
        <v>81</v>
      </c>
      <c r="F13" s="8" t="s">
        <v>109</v>
      </c>
      <c r="G13" s="8" t="s">
        <v>110</v>
      </c>
      <c r="H13" s="8" t="s">
        <v>84</v>
      </c>
      <c r="I13" s="8" t="s">
        <v>111</v>
      </c>
      <c r="J13" s="8" t="s">
        <v>112</v>
      </c>
    </row>
    <row r="14" customFormat="false" ht="36" hidden="false" customHeight="true" outlineLevel="0" collapsed="false">
      <c r="A14" s="9" t="s">
        <v>113</v>
      </c>
      <c r="B14" s="9" t="s">
        <v>114</v>
      </c>
      <c r="C14" s="9" t="s">
        <v>108</v>
      </c>
      <c r="D14" s="9" t="s">
        <v>46</v>
      </c>
      <c r="E14" s="9" t="s">
        <v>81</v>
      </c>
      <c r="F14" s="9" t="s">
        <v>115</v>
      </c>
      <c r="G14" s="9" t="s">
        <v>116</v>
      </c>
      <c r="H14" s="9" t="s">
        <v>66</v>
      </c>
      <c r="I14" s="9" t="s">
        <v>117</v>
      </c>
      <c r="J14" s="9" t="s">
        <v>118</v>
      </c>
    </row>
    <row r="15" customFormat="false" ht="36" hidden="false" customHeight="true" outlineLevel="0" collapsed="false">
      <c r="A15" s="8" t="s">
        <v>119</v>
      </c>
      <c r="B15" s="8" t="s">
        <v>120</v>
      </c>
      <c r="C15" s="8" t="s">
        <v>121</v>
      </c>
      <c r="D15" s="8" t="s">
        <v>46</v>
      </c>
      <c r="E15" s="8" t="s">
        <v>47</v>
      </c>
      <c r="F15" s="8" t="s">
        <v>122</v>
      </c>
      <c r="G15" s="8" t="s">
        <v>123</v>
      </c>
      <c r="H15" s="8" t="s">
        <v>66</v>
      </c>
      <c r="I15" s="8" t="s">
        <v>124</v>
      </c>
      <c r="J15" s="8" t="s">
        <v>125</v>
      </c>
    </row>
    <row r="16" customFormat="false" ht="36" hidden="false" customHeight="true" outlineLevel="0" collapsed="false">
      <c r="A16" s="9" t="s">
        <v>126</v>
      </c>
      <c r="B16" s="9" t="s">
        <v>127</v>
      </c>
      <c r="C16" s="9" t="s">
        <v>128</v>
      </c>
      <c r="D16" s="9" t="s">
        <v>46</v>
      </c>
      <c r="E16" s="9" t="s">
        <v>81</v>
      </c>
      <c r="F16" s="9" t="s">
        <v>129</v>
      </c>
      <c r="G16" s="9" t="s">
        <v>130</v>
      </c>
      <c r="H16" s="9" t="s">
        <v>66</v>
      </c>
      <c r="I16" s="9" t="s">
        <v>131</v>
      </c>
      <c r="J16" s="9" t="s">
        <v>68</v>
      </c>
    </row>
    <row r="17" customFormat="false" ht="36" hidden="false" customHeight="true" outlineLevel="0" collapsed="false">
      <c r="A17" s="8" t="s">
        <v>132</v>
      </c>
      <c r="B17" s="8" t="s">
        <v>133</v>
      </c>
      <c r="C17" s="8" t="s">
        <v>134</v>
      </c>
      <c r="D17" s="8" t="s">
        <v>46</v>
      </c>
      <c r="E17" s="8" t="s">
        <v>47</v>
      </c>
      <c r="F17" s="8" t="s">
        <v>135</v>
      </c>
      <c r="G17" s="8" t="s">
        <v>136</v>
      </c>
      <c r="H17" s="8" t="s">
        <v>66</v>
      </c>
      <c r="I17" s="8" t="s">
        <v>137</v>
      </c>
      <c r="J17" s="8" t="s">
        <v>138</v>
      </c>
    </row>
    <row r="18" customFormat="false" ht="36" hidden="false" customHeight="true" outlineLevel="0" collapsed="false">
      <c r="A18" s="9" t="s">
        <v>139</v>
      </c>
      <c r="B18" s="9" t="s">
        <v>140</v>
      </c>
      <c r="C18" s="9"/>
      <c r="D18" s="9" t="s">
        <v>46</v>
      </c>
      <c r="E18" s="9" t="s">
        <v>47</v>
      </c>
      <c r="F18" s="9" t="s">
        <v>141</v>
      </c>
      <c r="G18" s="9" t="s">
        <v>142</v>
      </c>
      <c r="H18" s="9" t="s">
        <v>66</v>
      </c>
      <c r="I18" s="9" t="s">
        <v>143</v>
      </c>
      <c r="J18" s="9" t="s">
        <v>144</v>
      </c>
    </row>
    <row r="19" customFormat="false" ht="36" hidden="false" customHeight="true" outlineLevel="0" collapsed="false">
      <c r="A19" s="8" t="s">
        <v>145</v>
      </c>
      <c r="B19" s="8" t="s">
        <v>146</v>
      </c>
      <c r="C19" s="8" t="s">
        <v>147</v>
      </c>
      <c r="D19" s="8" t="s">
        <v>46</v>
      </c>
      <c r="E19" s="8" t="s">
        <v>47</v>
      </c>
      <c r="F19" s="8" t="s">
        <v>148</v>
      </c>
      <c r="G19" s="8" t="s">
        <v>149</v>
      </c>
      <c r="H19" s="8" t="s">
        <v>150</v>
      </c>
      <c r="I19" s="8" t="s">
        <v>151</v>
      </c>
      <c r="J19" s="8" t="s">
        <v>121</v>
      </c>
    </row>
    <row r="20" customFormat="false" ht="36" hidden="false" customHeight="true" outlineLevel="0" collapsed="false">
      <c r="A20" s="9" t="s">
        <v>152</v>
      </c>
      <c r="B20" s="9" t="s">
        <v>153</v>
      </c>
      <c r="C20" s="9"/>
      <c r="D20" s="9" t="s">
        <v>46</v>
      </c>
      <c r="E20" s="9" t="s">
        <v>154</v>
      </c>
      <c r="F20" s="9" t="s">
        <v>155</v>
      </c>
      <c r="G20" s="9" t="s">
        <v>156</v>
      </c>
      <c r="H20" s="9" t="s">
        <v>84</v>
      </c>
      <c r="I20" s="9" t="s">
        <v>157</v>
      </c>
      <c r="J20" s="9" t="s">
        <v>158</v>
      </c>
    </row>
    <row r="21" customFormat="false" ht="36" hidden="false" customHeight="true" outlineLevel="0" collapsed="false">
      <c r="A21" s="8" t="s">
        <v>159</v>
      </c>
      <c r="B21" s="8" t="s">
        <v>160</v>
      </c>
      <c r="C21" s="8"/>
      <c r="D21" s="8" t="s">
        <v>46</v>
      </c>
      <c r="E21" s="8" t="s">
        <v>154</v>
      </c>
      <c r="F21" s="8" t="s">
        <v>161</v>
      </c>
      <c r="G21" s="8" t="s">
        <v>162</v>
      </c>
      <c r="H21" s="8" t="s">
        <v>84</v>
      </c>
      <c r="I21" s="8" t="s">
        <v>163</v>
      </c>
      <c r="J21" s="8" t="s">
        <v>164</v>
      </c>
    </row>
    <row r="22" customFormat="false" ht="36" hidden="false" customHeight="true" outlineLevel="0" collapsed="false">
      <c r="A22" s="9" t="s">
        <v>165</v>
      </c>
      <c r="B22" s="9" t="s">
        <v>166</v>
      </c>
      <c r="C22" s="9"/>
      <c r="D22" s="9" t="s">
        <v>46</v>
      </c>
      <c r="E22" s="9" t="s">
        <v>154</v>
      </c>
      <c r="F22" s="9" t="s">
        <v>167</v>
      </c>
      <c r="G22" s="9" t="s">
        <v>168</v>
      </c>
      <c r="H22" s="9" t="s">
        <v>84</v>
      </c>
      <c r="I22" s="9" t="s">
        <v>169</v>
      </c>
      <c r="J22" s="9" t="s">
        <v>170</v>
      </c>
    </row>
    <row r="23" customFormat="false" ht="36" hidden="false" customHeight="true" outlineLevel="0" collapsed="false">
      <c r="A23" s="8" t="s">
        <v>171</v>
      </c>
      <c r="B23" s="8" t="s">
        <v>172</v>
      </c>
      <c r="C23" s="8"/>
      <c r="D23" s="8" t="s">
        <v>46</v>
      </c>
      <c r="E23" s="8" t="s">
        <v>154</v>
      </c>
      <c r="F23" s="8" t="s">
        <v>173</v>
      </c>
      <c r="G23" s="8" t="s">
        <v>174</v>
      </c>
      <c r="H23" s="8" t="s">
        <v>84</v>
      </c>
      <c r="I23" s="8" t="s">
        <v>175</v>
      </c>
      <c r="J23" s="8" t="s">
        <v>176</v>
      </c>
    </row>
    <row r="24" customFormat="false" ht="36" hidden="false" customHeight="true" outlineLevel="0" collapsed="false">
      <c r="A24" s="9" t="s">
        <v>177</v>
      </c>
      <c r="B24" s="9" t="s">
        <v>164</v>
      </c>
      <c r="C24" s="9"/>
      <c r="D24" s="9" t="s">
        <v>46</v>
      </c>
      <c r="E24" s="9" t="s">
        <v>154</v>
      </c>
      <c r="F24" s="9" t="s">
        <v>178</v>
      </c>
      <c r="G24" s="9" t="s">
        <v>179</v>
      </c>
      <c r="H24" s="9" t="s">
        <v>180</v>
      </c>
      <c r="I24" s="9" t="s">
        <v>181</v>
      </c>
      <c r="J24" s="9" t="s">
        <v>182</v>
      </c>
    </row>
    <row r="25" customFormat="false" ht="36" hidden="false" customHeight="true" outlineLevel="0" collapsed="false">
      <c r="A25" s="8" t="s">
        <v>183</v>
      </c>
      <c r="B25" s="8" t="s">
        <v>182</v>
      </c>
      <c r="C25" s="8"/>
      <c r="D25" s="8" t="s">
        <v>46</v>
      </c>
      <c r="E25" s="8" t="s">
        <v>154</v>
      </c>
      <c r="F25" s="8" t="s">
        <v>184</v>
      </c>
      <c r="G25" s="8" t="s">
        <v>185</v>
      </c>
      <c r="H25" s="8" t="s">
        <v>84</v>
      </c>
      <c r="I25" s="8" t="s">
        <v>186</v>
      </c>
      <c r="J25" s="8" t="s">
        <v>164</v>
      </c>
    </row>
    <row r="26" customFormat="false" ht="36" hidden="false" customHeight="true" outlineLevel="0" collapsed="false">
      <c r="A26" s="9" t="s">
        <v>187</v>
      </c>
      <c r="B26" s="9" t="s">
        <v>188</v>
      </c>
      <c r="C26" s="9" t="s">
        <v>189</v>
      </c>
      <c r="D26" s="9" t="s">
        <v>46</v>
      </c>
      <c r="E26" s="9" t="s">
        <v>170</v>
      </c>
      <c r="F26" s="9" t="s">
        <v>190</v>
      </c>
      <c r="G26" s="9" t="s">
        <v>191</v>
      </c>
      <c r="H26" s="9" t="s">
        <v>192</v>
      </c>
      <c r="I26" s="9" t="s">
        <v>193</v>
      </c>
      <c r="J26" s="9" t="s">
        <v>194</v>
      </c>
    </row>
    <row r="27" customFormat="false" ht="36" hidden="false" customHeight="true" outlineLevel="0" collapsed="false">
      <c r="A27" s="8" t="s">
        <v>195</v>
      </c>
      <c r="B27" s="8" t="s">
        <v>196</v>
      </c>
      <c r="C27" s="8"/>
      <c r="D27" s="8" t="s">
        <v>46</v>
      </c>
      <c r="E27" s="8" t="s">
        <v>170</v>
      </c>
      <c r="F27" s="8" t="s">
        <v>197</v>
      </c>
      <c r="G27" s="8" t="s">
        <v>198</v>
      </c>
      <c r="H27" s="8" t="s">
        <v>84</v>
      </c>
      <c r="I27" s="8" t="s">
        <v>199</v>
      </c>
      <c r="J27" s="8" t="s">
        <v>200</v>
      </c>
    </row>
    <row r="28" customFormat="false" ht="36" hidden="false" customHeight="true" outlineLevel="0" collapsed="false">
      <c r="A28" s="9" t="s">
        <v>201</v>
      </c>
      <c r="B28" s="9" t="s">
        <v>202</v>
      </c>
      <c r="C28" s="9"/>
      <c r="D28" s="9" t="s">
        <v>46</v>
      </c>
      <c r="E28" s="9" t="s">
        <v>170</v>
      </c>
      <c r="F28" s="9" t="s">
        <v>203</v>
      </c>
      <c r="G28" s="9" t="s">
        <v>204</v>
      </c>
      <c r="H28" s="9" t="s">
        <v>84</v>
      </c>
      <c r="I28" s="9" t="s">
        <v>205</v>
      </c>
      <c r="J28" s="9" t="s">
        <v>189</v>
      </c>
    </row>
    <row r="29" customFormat="false" ht="36" hidden="false" customHeight="true" outlineLevel="0" collapsed="false">
      <c r="A29" s="8" t="s">
        <v>206</v>
      </c>
      <c r="B29" s="8" t="s">
        <v>207</v>
      </c>
      <c r="C29" s="8" t="s">
        <v>208</v>
      </c>
      <c r="D29" s="8" t="s">
        <v>46</v>
      </c>
      <c r="E29" s="8" t="s">
        <v>170</v>
      </c>
      <c r="F29" s="8" t="s">
        <v>209</v>
      </c>
      <c r="G29" s="8" t="s">
        <v>210</v>
      </c>
      <c r="H29" s="8" t="s">
        <v>211</v>
      </c>
      <c r="I29" s="8" t="s">
        <v>212</v>
      </c>
      <c r="J29" s="8" t="s">
        <v>213</v>
      </c>
    </row>
    <row r="30" customFormat="false" ht="36" hidden="false" customHeight="true" outlineLevel="0" collapsed="false">
      <c r="A30" s="9" t="s">
        <v>214</v>
      </c>
      <c r="B30" s="9" t="s">
        <v>215</v>
      </c>
      <c r="C30" s="9" t="s">
        <v>213</v>
      </c>
      <c r="D30" s="9" t="s">
        <v>46</v>
      </c>
      <c r="E30" s="9" t="s">
        <v>170</v>
      </c>
      <c r="F30" s="9" t="s">
        <v>216</v>
      </c>
      <c r="G30" s="9" t="s">
        <v>217</v>
      </c>
      <c r="H30" s="9" t="s">
        <v>218</v>
      </c>
      <c r="I30" s="9" t="s">
        <v>219</v>
      </c>
      <c r="J30" s="9" t="s">
        <v>189</v>
      </c>
    </row>
    <row r="31" customFormat="false" ht="36" hidden="false" customHeight="true" outlineLevel="0" collapsed="false">
      <c r="A31" s="8" t="s">
        <v>220</v>
      </c>
      <c r="B31" s="8" t="s">
        <v>221</v>
      </c>
      <c r="C31" s="8"/>
      <c r="D31" s="8" t="s">
        <v>46</v>
      </c>
      <c r="E31" s="8" t="s">
        <v>170</v>
      </c>
      <c r="F31" s="8" t="s">
        <v>222</v>
      </c>
      <c r="G31" s="8" t="s">
        <v>223</v>
      </c>
      <c r="H31" s="8" t="s">
        <v>224</v>
      </c>
      <c r="I31" s="8" t="s">
        <v>225</v>
      </c>
      <c r="J31" s="8" t="s">
        <v>226</v>
      </c>
    </row>
    <row r="32" customFormat="false" ht="36" hidden="false" customHeight="true" outlineLevel="0" collapsed="false">
      <c r="A32" s="9" t="s">
        <v>227</v>
      </c>
      <c r="B32" s="9" t="s">
        <v>226</v>
      </c>
      <c r="C32" s="9"/>
      <c r="D32" s="9" t="s">
        <v>46</v>
      </c>
      <c r="E32" s="9" t="s">
        <v>228</v>
      </c>
      <c r="F32" s="9" t="s">
        <v>229</v>
      </c>
      <c r="G32" s="9" t="s">
        <v>230</v>
      </c>
      <c r="H32" s="9" t="s">
        <v>231</v>
      </c>
      <c r="I32" s="9" t="s">
        <v>232</v>
      </c>
      <c r="J32" s="9" t="s">
        <v>233</v>
      </c>
    </row>
    <row r="33" customFormat="false" ht="36" hidden="false" customHeight="true" outlineLevel="0" collapsed="false">
      <c r="A33" s="8" t="s">
        <v>234</v>
      </c>
      <c r="B33" s="8" t="s">
        <v>235</v>
      </c>
      <c r="C33" s="8"/>
      <c r="D33" s="8" t="s">
        <v>46</v>
      </c>
      <c r="E33" s="8" t="s">
        <v>228</v>
      </c>
      <c r="F33" s="8" t="s">
        <v>236</v>
      </c>
      <c r="G33" s="8" t="s">
        <v>237</v>
      </c>
      <c r="H33" s="8" t="s">
        <v>238</v>
      </c>
      <c r="I33" s="8" t="s">
        <v>239</v>
      </c>
      <c r="J33" s="8" t="s">
        <v>240</v>
      </c>
    </row>
    <row r="34" customFormat="false" ht="36" hidden="false" customHeight="true" outlineLevel="0" collapsed="false">
      <c r="A34" s="9" t="s">
        <v>241</v>
      </c>
      <c r="B34" s="9" t="s">
        <v>242</v>
      </c>
      <c r="C34" s="9"/>
      <c r="D34" s="9" t="s">
        <v>46</v>
      </c>
      <c r="E34" s="9" t="s">
        <v>228</v>
      </c>
      <c r="F34" s="9" t="s">
        <v>243</v>
      </c>
      <c r="G34" s="9" t="s">
        <v>242</v>
      </c>
      <c r="H34" s="9" t="s">
        <v>238</v>
      </c>
      <c r="I34" s="9" t="s">
        <v>244</v>
      </c>
      <c r="J34" s="9" t="s">
        <v>245</v>
      </c>
    </row>
    <row r="35" customFormat="false" ht="36" hidden="false" customHeight="true" outlineLevel="0" collapsed="false">
      <c r="A35" s="8" t="s">
        <v>246</v>
      </c>
      <c r="B35" s="8" t="s">
        <v>247</v>
      </c>
      <c r="C35" s="8"/>
      <c r="D35" s="8" t="s">
        <v>46</v>
      </c>
      <c r="E35" s="8" t="s">
        <v>228</v>
      </c>
      <c r="F35" s="8" t="s">
        <v>248</v>
      </c>
      <c r="G35" s="8" t="s">
        <v>247</v>
      </c>
      <c r="H35" s="8" t="s">
        <v>238</v>
      </c>
      <c r="I35" s="8" t="s">
        <v>249</v>
      </c>
      <c r="J35" s="8" t="s">
        <v>250</v>
      </c>
    </row>
    <row r="36" customFormat="false" ht="36" hidden="false" customHeight="true" outlineLevel="0" collapsed="false">
      <c r="A36" s="9" t="s">
        <v>251</v>
      </c>
      <c r="B36" s="9" t="s">
        <v>252</v>
      </c>
      <c r="C36" s="9"/>
      <c r="D36" s="9" t="s">
        <v>46</v>
      </c>
      <c r="E36" s="9" t="s">
        <v>228</v>
      </c>
      <c r="F36" s="9" t="s">
        <v>253</v>
      </c>
      <c r="G36" s="9" t="s">
        <v>252</v>
      </c>
      <c r="H36" s="9" t="s">
        <v>238</v>
      </c>
      <c r="I36" s="9" t="s">
        <v>254</v>
      </c>
      <c r="J36" s="9" t="s">
        <v>255</v>
      </c>
    </row>
    <row r="37" customFormat="false" ht="36" hidden="false" customHeight="true" outlineLevel="0" collapsed="false">
      <c r="A37" s="8" t="s">
        <v>256</v>
      </c>
      <c r="B37" s="8" t="s">
        <v>255</v>
      </c>
      <c r="C37" s="8" t="s">
        <v>255</v>
      </c>
      <c r="D37" s="8" t="s">
        <v>46</v>
      </c>
      <c r="E37" s="8" t="s">
        <v>228</v>
      </c>
      <c r="F37" s="8" t="s">
        <v>257</v>
      </c>
      <c r="G37" s="8" t="s">
        <v>258</v>
      </c>
      <c r="H37" s="8" t="s">
        <v>259</v>
      </c>
      <c r="I37" s="8" t="s">
        <v>260</v>
      </c>
      <c r="J37" s="8" t="s">
        <v>261</v>
      </c>
    </row>
    <row r="38" customFormat="false" ht="36" hidden="false" customHeight="true" outlineLevel="0" collapsed="false">
      <c r="A38" s="9" t="s">
        <v>262</v>
      </c>
      <c r="B38" s="9" t="s">
        <v>263</v>
      </c>
      <c r="C38" s="9" t="s">
        <v>263</v>
      </c>
      <c r="D38" s="9" t="s">
        <v>46</v>
      </c>
      <c r="E38" s="9" t="s">
        <v>228</v>
      </c>
      <c r="F38" s="9" t="s">
        <v>264</v>
      </c>
      <c r="G38" s="9" t="s">
        <v>265</v>
      </c>
      <c r="H38" s="9" t="s">
        <v>84</v>
      </c>
      <c r="I38" s="9" t="s">
        <v>266</v>
      </c>
      <c r="J38" s="9" t="s">
        <v>267</v>
      </c>
    </row>
    <row r="39" customFormat="false" ht="36" hidden="false" customHeight="true" outlineLevel="0" collapsed="false">
      <c r="A39" s="8" t="s">
        <v>268</v>
      </c>
      <c r="B39" s="8" t="s">
        <v>267</v>
      </c>
      <c r="C39" s="8" t="s">
        <v>267</v>
      </c>
      <c r="D39" s="8" t="s">
        <v>46</v>
      </c>
      <c r="E39" s="8" t="s">
        <v>269</v>
      </c>
      <c r="F39" s="8" t="s">
        <v>270</v>
      </c>
      <c r="G39" s="8" t="s">
        <v>271</v>
      </c>
      <c r="H39" s="8" t="s">
        <v>272</v>
      </c>
      <c r="I39" s="8" t="s">
        <v>273</v>
      </c>
      <c r="J39" s="8" t="s">
        <v>274</v>
      </c>
    </row>
    <row r="40" customFormat="false" ht="36" hidden="false" customHeight="true" outlineLevel="0" collapsed="false">
      <c r="A40" s="9" t="s">
        <v>275</v>
      </c>
      <c r="B40" s="9" t="s">
        <v>276</v>
      </c>
      <c r="C40" s="9" t="s">
        <v>277</v>
      </c>
      <c r="D40" s="9" t="s">
        <v>46</v>
      </c>
      <c r="E40" s="9" t="s">
        <v>228</v>
      </c>
      <c r="F40" s="9" t="s">
        <v>278</v>
      </c>
      <c r="G40" s="9" t="s">
        <v>279</v>
      </c>
      <c r="H40" s="9" t="s">
        <v>84</v>
      </c>
      <c r="I40" s="9" t="s">
        <v>280</v>
      </c>
      <c r="J40" s="9" t="s">
        <v>245</v>
      </c>
    </row>
    <row r="41" customFormat="false" ht="36" hidden="false" customHeight="true" outlineLevel="0" collapsed="false">
      <c r="A41" s="8" t="s">
        <v>281</v>
      </c>
      <c r="B41" s="8" t="s">
        <v>282</v>
      </c>
      <c r="C41" s="8" t="s">
        <v>245</v>
      </c>
      <c r="D41" s="8" t="s">
        <v>46</v>
      </c>
      <c r="E41" s="8" t="s">
        <v>228</v>
      </c>
      <c r="F41" s="8" t="s">
        <v>283</v>
      </c>
      <c r="G41" s="8" t="s">
        <v>284</v>
      </c>
      <c r="H41" s="8" t="s">
        <v>238</v>
      </c>
      <c r="I41" s="8" t="s">
        <v>285</v>
      </c>
      <c r="J41" s="8" t="s">
        <v>277</v>
      </c>
    </row>
    <row r="42" customFormat="false" ht="36" hidden="false" customHeight="true" outlineLevel="0" collapsed="false">
      <c r="A42" s="9" t="s">
        <v>286</v>
      </c>
      <c r="B42" s="9" t="s">
        <v>287</v>
      </c>
      <c r="C42" s="9" t="s">
        <v>288</v>
      </c>
      <c r="D42" s="9" t="s">
        <v>46</v>
      </c>
      <c r="E42" s="9" t="s">
        <v>228</v>
      </c>
      <c r="F42" s="9" t="s">
        <v>289</v>
      </c>
      <c r="G42" s="9" t="s">
        <v>290</v>
      </c>
      <c r="H42" s="9" t="s">
        <v>291</v>
      </c>
      <c r="I42" s="9" t="s">
        <v>292</v>
      </c>
      <c r="J42" s="9" t="s">
        <v>293</v>
      </c>
    </row>
    <row r="43" customFormat="false" ht="36" hidden="false" customHeight="true" outlineLevel="0" collapsed="false">
      <c r="A43" s="8" t="s">
        <v>294</v>
      </c>
      <c r="B43" s="8" t="s">
        <v>295</v>
      </c>
      <c r="C43" s="8" t="s">
        <v>293</v>
      </c>
      <c r="D43" s="8" t="s">
        <v>46</v>
      </c>
      <c r="E43" s="8" t="s">
        <v>228</v>
      </c>
      <c r="F43" s="8" t="s">
        <v>296</v>
      </c>
      <c r="G43" s="8" t="s">
        <v>297</v>
      </c>
      <c r="H43" s="8" t="s">
        <v>298</v>
      </c>
      <c r="I43" s="8" t="s">
        <v>299</v>
      </c>
      <c r="J43" s="8" t="s">
        <v>288</v>
      </c>
    </row>
    <row r="44" customFormat="false" ht="36" hidden="false" customHeight="true" outlineLevel="0" collapsed="false">
      <c r="A44" s="9" t="s">
        <v>300</v>
      </c>
      <c r="B44" s="9" t="s">
        <v>301</v>
      </c>
      <c r="C44" s="9"/>
      <c r="D44" s="9" t="s">
        <v>46</v>
      </c>
      <c r="E44" s="9" t="s">
        <v>228</v>
      </c>
      <c r="F44" s="9" t="s">
        <v>302</v>
      </c>
      <c r="G44" s="9" t="s">
        <v>303</v>
      </c>
      <c r="H44" s="9" t="s">
        <v>84</v>
      </c>
      <c r="I44" s="9" t="s">
        <v>304</v>
      </c>
      <c r="J44" s="9" t="s">
        <v>305</v>
      </c>
    </row>
    <row r="45" customFormat="false" ht="36" hidden="false" customHeight="true" outlineLevel="0" collapsed="false">
      <c r="A45" s="8" t="s">
        <v>306</v>
      </c>
      <c r="B45" s="8" t="s">
        <v>307</v>
      </c>
      <c r="C45" s="8" t="s">
        <v>305</v>
      </c>
      <c r="D45" s="8" t="s">
        <v>46</v>
      </c>
      <c r="E45" s="8" t="s">
        <v>308</v>
      </c>
      <c r="F45" s="8" t="s">
        <v>309</v>
      </c>
      <c r="G45" s="8" t="s">
        <v>310</v>
      </c>
      <c r="H45" s="8" t="s">
        <v>311</v>
      </c>
      <c r="I45" s="8" t="s">
        <v>312</v>
      </c>
      <c r="J45" s="8" t="s">
        <v>313</v>
      </c>
    </row>
    <row r="46" customFormat="false" ht="36" hidden="false" customHeight="true" outlineLevel="0" collapsed="false">
      <c r="A46" s="9" t="s">
        <v>314</v>
      </c>
      <c r="B46" s="9" t="s">
        <v>315</v>
      </c>
      <c r="C46" s="9" t="s">
        <v>313</v>
      </c>
      <c r="D46" s="9" t="s">
        <v>46</v>
      </c>
      <c r="E46" s="9" t="s">
        <v>308</v>
      </c>
      <c r="F46" s="9" t="s">
        <v>316</v>
      </c>
      <c r="G46" s="9" t="s">
        <v>317</v>
      </c>
      <c r="H46" s="9" t="s">
        <v>318</v>
      </c>
      <c r="I46" s="9" t="s">
        <v>319</v>
      </c>
      <c r="J46" s="9" t="s">
        <v>320</v>
      </c>
    </row>
    <row r="47" customFormat="false" ht="36" hidden="false" customHeight="true" outlineLevel="0" collapsed="false">
      <c r="A47" s="8" t="s">
        <v>321</v>
      </c>
      <c r="B47" s="8" t="s">
        <v>322</v>
      </c>
      <c r="C47" s="8"/>
      <c r="D47" s="8" t="s">
        <v>46</v>
      </c>
      <c r="E47" s="8" t="s">
        <v>308</v>
      </c>
      <c r="F47" s="8" t="s">
        <v>323</v>
      </c>
      <c r="G47" s="8" t="s">
        <v>324</v>
      </c>
      <c r="H47" s="8" t="s">
        <v>325</v>
      </c>
      <c r="I47" s="8" t="s">
        <v>326</v>
      </c>
      <c r="J47" s="8" t="s">
        <v>313</v>
      </c>
    </row>
    <row r="48" customFormat="false" ht="36" hidden="false" customHeight="true" outlineLevel="0" collapsed="false">
      <c r="A48" s="9" t="s">
        <v>327</v>
      </c>
      <c r="B48" s="9" t="s">
        <v>328</v>
      </c>
      <c r="C48" s="9"/>
      <c r="D48" s="9" t="s">
        <v>46</v>
      </c>
      <c r="E48" s="9" t="s">
        <v>328</v>
      </c>
      <c r="F48" s="9" t="s">
        <v>329</v>
      </c>
      <c r="G48" s="9" t="s">
        <v>330</v>
      </c>
      <c r="H48" s="9" t="s">
        <v>331</v>
      </c>
      <c r="I48" s="9" t="s">
        <v>332</v>
      </c>
      <c r="J48" s="9" t="s">
        <v>333</v>
      </c>
    </row>
    <row r="49" customFormat="false" ht="36" hidden="false" customHeight="true" outlineLevel="0" collapsed="false">
      <c r="A49" s="8" t="s">
        <v>334</v>
      </c>
      <c r="B49" s="8" t="s">
        <v>335</v>
      </c>
      <c r="C49" s="8"/>
      <c r="D49" s="8" t="s">
        <v>46</v>
      </c>
      <c r="E49" s="8" t="s">
        <v>328</v>
      </c>
      <c r="F49" s="8" t="s">
        <v>336</v>
      </c>
      <c r="G49" s="8" t="s">
        <v>337</v>
      </c>
      <c r="H49" s="8" t="s">
        <v>84</v>
      </c>
      <c r="I49" s="8" t="s">
        <v>338</v>
      </c>
      <c r="J49" s="8" t="s">
        <v>339</v>
      </c>
    </row>
    <row r="50" customFormat="false" ht="36" hidden="false" customHeight="true" outlineLevel="0" collapsed="false">
      <c r="A50" s="9" t="s">
        <v>340</v>
      </c>
      <c r="B50" s="9" t="s">
        <v>341</v>
      </c>
      <c r="C50" s="9"/>
      <c r="D50" s="9" t="s">
        <v>46</v>
      </c>
      <c r="E50" s="9" t="s">
        <v>328</v>
      </c>
      <c r="F50" s="9" t="s">
        <v>342</v>
      </c>
      <c r="G50" s="9" t="s">
        <v>343</v>
      </c>
      <c r="H50" s="9" t="s">
        <v>84</v>
      </c>
      <c r="I50" s="9" t="s">
        <v>344</v>
      </c>
      <c r="J50" s="9" t="s">
        <v>345</v>
      </c>
    </row>
    <row r="51" customFormat="false" ht="36" hidden="false" customHeight="true" outlineLevel="0" collapsed="false">
      <c r="A51" s="8" t="s">
        <v>346</v>
      </c>
      <c r="B51" s="8" t="s">
        <v>347</v>
      </c>
      <c r="C51" s="8" t="s">
        <v>348</v>
      </c>
      <c r="D51" s="8" t="s">
        <v>46</v>
      </c>
      <c r="E51" s="8" t="s">
        <v>328</v>
      </c>
      <c r="F51" s="8" t="s">
        <v>349</v>
      </c>
      <c r="G51" s="8" t="s">
        <v>350</v>
      </c>
      <c r="H51" s="8" t="s">
        <v>351</v>
      </c>
      <c r="I51" s="8" t="s">
        <v>352</v>
      </c>
      <c r="J51" s="8" t="s">
        <v>353</v>
      </c>
    </row>
    <row r="52" customFormat="false" ht="36" hidden="false" customHeight="true" outlineLevel="0" collapsed="false">
      <c r="A52" s="9" t="s">
        <v>354</v>
      </c>
      <c r="B52" s="9" t="s">
        <v>355</v>
      </c>
      <c r="C52" s="9"/>
      <c r="D52" s="9" t="s">
        <v>46</v>
      </c>
      <c r="E52" s="9" t="s">
        <v>328</v>
      </c>
      <c r="F52" s="9" t="s">
        <v>356</v>
      </c>
      <c r="G52" s="9" t="s">
        <v>357</v>
      </c>
      <c r="H52" s="9" t="s">
        <v>84</v>
      </c>
      <c r="I52" s="9" t="s">
        <v>358</v>
      </c>
      <c r="J52" s="9" t="s">
        <v>359</v>
      </c>
    </row>
    <row r="53" customFormat="false" ht="36" hidden="false" customHeight="true" outlineLevel="0" collapsed="false">
      <c r="A53" s="8" t="s">
        <v>360</v>
      </c>
      <c r="B53" s="8" t="s">
        <v>361</v>
      </c>
      <c r="C53" s="8"/>
      <c r="D53" s="8" t="s">
        <v>46</v>
      </c>
      <c r="E53" s="8" t="s">
        <v>328</v>
      </c>
      <c r="F53" s="8" t="s">
        <v>362</v>
      </c>
      <c r="G53" s="8" t="s">
        <v>363</v>
      </c>
      <c r="H53" s="8" t="s">
        <v>231</v>
      </c>
      <c r="I53" s="8" t="s">
        <v>364</v>
      </c>
      <c r="J53" s="8" t="s">
        <v>365</v>
      </c>
    </row>
    <row r="54" customFormat="false" ht="36" hidden="false" customHeight="true" outlineLevel="0" collapsed="false">
      <c r="A54" s="9" t="s">
        <v>366</v>
      </c>
      <c r="B54" s="9" t="s">
        <v>367</v>
      </c>
      <c r="C54" s="9"/>
      <c r="D54" s="9" t="s">
        <v>46</v>
      </c>
      <c r="E54" s="9" t="s">
        <v>328</v>
      </c>
      <c r="F54" s="9" t="s">
        <v>368</v>
      </c>
      <c r="G54" s="9" t="s">
        <v>369</v>
      </c>
      <c r="H54" s="9" t="s">
        <v>84</v>
      </c>
      <c r="I54" s="9" t="s">
        <v>370</v>
      </c>
      <c r="J54" s="9" t="s">
        <v>371</v>
      </c>
    </row>
    <row r="55" customFormat="false" ht="36" hidden="false" customHeight="true" outlineLevel="0" collapsed="false">
      <c r="A55" s="8" t="s">
        <v>372</v>
      </c>
      <c r="B55" s="8" t="s">
        <v>371</v>
      </c>
      <c r="C55" s="8" t="s">
        <v>371</v>
      </c>
      <c r="D55" s="8" t="s">
        <v>46</v>
      </c>
      <c r="E55" s="8" t="s">
        <v>328</v>
      </c>
      <c r="F55" s="8" t="s">
        <v>373</v>
      </c>
      <c r="G55" s="8" t="s">
        <v>374</v>
      </c>
      <c r="H55" s="8" t="s">
        <v>375</v>
      </c>
      <c r="I55" s="8" t="s">
        <v>376</v>
      </c>
      <c r="J55" s="8" t="s">
        <v>377</v>
      </c>
    </row>
    <row r="56" customFormat="false" ht="36" hidden="false" customHeight="true" outlineLevel="0" collapsed="false">
      <c r="A56" s="9" t="s">
        <v>378</v>
      </c>
      <c r="B56" s="9" t="s">
        <v>379</v>
      </c>
      <c r="C56" s="9"/>
      <c r="D56" s="9" t="s">
        <v>46</v>
      </c>
      <c r="E56" s="9" t="s">
        <v>328</v>
      </c>
      <c r="F56" s="9" t="s">
        <v>380</v>
      </c>
      <c r="G56" s="9" t="s">
        <v>381</v>
      </c>
      <c r="H56" s="9" t="s">
        <v>84</v>
      </c>
      <c r="I56" s="9" t="s">
        <v>382</v>
      </c>
      <c r="J56" s="9" t="s">
        <v>383</v>
      </c>
    </row>
    <row r="57" customFormat="false" ht="36" hidden="false" customHeight="true" outlineLevel="0" collapsed="false">
      <c r="A57" s="8" t="s">
        <v>384</v>
      </c>
      <c r="B57" s="8" t="s">
        <v>385</v>
      </c>
      <c r="C57" s="8"/>
      <c r="D57" s="8" t="s">
        <v>46</v>
      </c>
      <c r="E57" s="8" t="s">
        <v>328</v>
      </c>
      <c r="F57" s="8" t="s">
        <v>386</v>
      </c>
      <c r="G57" s="8" t="s">
        <v>387</v>
      </c>
      <c r="H57" s="8" t="s">
        <v>84</v>
      </c>
      <c r="I57" s="8" t="s">
        <v>388</v>
      </c>
      <c r="J57" s="8" t="s">
        <v>389</v>
      </c>
    </row>
    <row r="58" customFormat="false" ht="36" hidden="false" customHeight="true" outlineLevel="0" collapsed="false">
      <c r="A58" s="9" t="s">
        <v>390</v>
      </c>
      <c r="B58" s="9" t="s">
        <v>391</v>
      </c>
      <c r="C58" s="9"/>
      <c r="D58" s="9" t="s">
        <v>46</v>
      </c>
      <c r="E58" s="9" t="s">
        <v>154</v>
      </c>
      <c r="F58" s="9" t="s">
        <v>392</v>
      </c>
      <c r="G58" s="9" t="s">
        <v>393</v>
      </c>
      <c r="H58" s="9" t="s">
        <v>84</v>
      </c>
      <c r="I58" s="9" t="s">
        <v>394</v>
      </c>
      <c r="J58" s="9" t="s">
        <v>395</v>
      </c>
    </row>
    <row r="59" customFormat="false" ht="36" hidden="false" customHeight="true" outlineLevel="0" collapsed="false">
      <c r="A59" s="8" t="s">
        <v>396</v>
      </c>
      <c r="B59" s="8" t="s">
        <v>397</v>
      </c>
      <c r="C59" s="8"/>
      <c r="D59" s="8" t="s">
        <v>46</v>
      </c>
      <c r="E59" s="8" t="s">
        <v>154</v>
      </c>
      <c r="F59" s="8" t="s">
        <v>398</v>
      </c>
      <c r="G59" s="8" t="s">
        <v>399</v>
      </c>
      <c r="H59" s="8" t="s">
        <v>400</v>
      </c>
      <c r="I59" s="8" t="s">
        <v>401</v>
      </c>
      <c r="J59" s="8" t="s">
        <v>402</v>
      </c>
    </row>
    <row r="60" customFormat="false" ht="36" hidden="false" customHeight="true" outlineLevel="0" collapsed="false">
      <c r="A60" s="9" t="s">
        <v>403</v>
      </c>
      <c r="B60" s="9" t="s">
        <v>404</v>
      </c>
      <c r="C60" s="9"/>
      <c r="D60" s="9" t="s">
        <v>46</v>
      </c>
      <c r="E60" s="9" t="s">
        <v>154</v>
      </c>
      <c r="F60" s="9" t="s">
        <v>405</v>
      </c>
      <c r="G60" s="9" t="s">
        <v>406</v>
      </c>
      <c r="H60" s="9" t="s">
        <v>400</v>
      </c>
      <c r="I60" s="9" t="s">
        <v>407</v>
      </c>
      <c r="J60" s="9" t="s">
        <v>408</v>
      </c>
    </row>
    <row r="61" customFormat="false" ht="36" hidden="false" customHeight="true" outlineLevel="0" collapsed="false">
      <c r="A61" s="8" t="s">
        <v>409</v>
      </c>
      <c r="B61" s="8" t="s">
        <v>410</v>
      </c>
      <c r="C61" s="8"/>
      <c r="D61" s="8" t="s">
        <v>46</v>
      </c>
      <c r="E61" s="8" t="s">
        <v>154</v>
      </c>
      <c r="F61" s="8" t="s">
        <v>411</v>
      </c>
      <c r="G61" s="8" t="s">
        <v>412</v>
      </c>
      <c r="H61" s="8" t="s">
        <v>84</v>
      </c>
      <c r="I61" s="8" t="s">
        <v>413</v>
      </c>
      <c r="J61" s="8" t="s">
        <v>414</v>
      </c>
    </row>
    <row r="62" customFormat="false" ht="36" hidden="false" customHeight="true" outlineLevel="0" collapsed="false">
      <c r="A62" s="9" t="s">
        <v>415</v>
      </c>
      <c r="B62" s="9" t="s">
        <v>416</v>
      </c>
      <c r="C62" s="9"/>
      <c r="D62" s="9" t="s">
        <v>46</v>
      </c>
      <c r="E62" s="9" t="s">
        <v>154</v>
      </c>
      <c r="F62" s="9" t="s">
        <v>417</v>
      </c>
      <c r="G62" s="9" t="s">
        <v>418</v>
      </c>
      <c r="H62" s="9" t="s">
        <v>231</v>
      </c>
      <c r="I62" s="9" t="s">
        <v>419</v>
      </c>
      <c r="J62" s="9" t="s">
        <v>420</v>
      </c>
    </row>
    <row r="63" customFormat="false" ht="36" hidden="false" customHeight="true" outlineLevel="0" collapsed="false">
      <c r="A63" s="8" t="s">
        <v>421</v>
      </c>
      <c r="B63" s="8" t="s">
        <v>422</v>
      </c>
      <c r="C63" s="8"/>
      <c r="D63" s="8" t="s">
        <v>46</v>
      </c>
      <c r="E63" s="8" t="s">
        <v>228</v>
      </c>
      <c r="F63" s="8" t="s">
        <v>423</v>
      </c>
      <c r="G63" s="8" t="s">
        <v>424</v>
      </c>
      <c r="H63" s="8" t="s">
        <v>84</v>
      </c>
      <c r="I63" s="8" t="s">
        <v>425</v>
      </c>
      <c r="J63" s="8" t="s">
        <v>426</v>
      </c>
    </row>
    <row r="64" customFormat="false" ht="36" hidden="false" customHeight="true" outlineLevel="0" collapsed="false">
      <c r="A64" s="9" t="s">
        <v>427</v>
      </c>
      <c r="B64" s="9" t="s">
        <v>428</v>
      </c>
      <c r="C64" s="9"/>
      <c r="D64" s="9" t="s">
        <v>46</v>
      </c>
      <c r="E64" s="9" t="s">
        <v>429</v>
      </c>
      <c r="F64" s="9" t="s">
        <v>430</v>
      </c>
      <c r="G64" s="9" t="s">
        <v>431</v>
      </c>
      <c r="H64" s="9" t="s">
        <v>432</v>
      </c>
      <c r="I64" s="9" t="s">
        <v>433</v>
      </c>
      <c r="J64" s="9" t="s">
        <v>434</v>
      </c>
    </row>
    <row r="65" customFormat="false" ht="36" hidden="false" customHeight="true" outlineLevel="0" collapsed="false">
      <c r="A65" s="8" t="s">
        <v>435</v>
      </c>
      <c r="B65" s="8" t="s">
        <v>436</v>
      </c>
      <c r="C65" s="8" t="s">
        <v>434</v>
      </c>
      <c r="D65" s="8" t="s">
        <v>46</v>
      </c>
      <c r="E65" s="8" t="s">
        <v>429</v>
      </c>
      <c r="F65" s="8" t="s">
        <v>437</v>
      </c>
      <c r="G65" s="8" t="s">
        <v>438</v>
      </c>
      <c r="H65" s="8" t="s">
        <v>439</v>
      </c>
      <c r="I65" s="8" t="s">
        <v>440</v>
      </c>
      <c r="J65" s="8" t="s">
        <v>441</v>
      </c>
    </row>
    <row r="66" customFormat="false" ht="36" hidden="false" customHeight="true" outlineLevel="0" collapsed="false">
      <c r="A66" s="9" t="s">
        <v>442</v>
      </c>
      <c r="B66" s="9" t="s">
        <v>443</v>
      </c>
      <c r="C66" s="9"/>
      <c r="D66" s="9" t="s">
        <v>46</v>
      </c>
      <c r="E66" s="9" t="s">
        <v>429</v>
      </c>
      <c r="F66" s="9" t="s">
        <v>444</v>
      </c>
      <c r="G66" s="9" t="s">
        <v>443</v>
      </c>
      <c r="H66" s="9" t="s">
        <v>238</v>
      </c>
      <c r="I66" s="9" t="s">
        <v>445</v>
      </c>
      <c r="J66" s="9" t="s">
        <v>446</v>
      </c>
    </row>
    <row r="67" customFormat="false" ht="36" hidden="false" customHeight="true" outlineLevel="0" collapsed="false">
      <c r="A67" s="8" t="s">
        <v>447</v>
      </c>
      <c r="B67" s="8" t="s">
        <v>446</v>
      </c>
      <c r="C67" s="8"/>
      <c r="D67" s="8" t="s">
        <v>46</v>
      </c>
      <c r="E67" s="8" t="s">
        <v>429</v>
      </c>
      <c r="F67" s="8" t="s">
        <v>448</v>
      </c>
      <c r="G67" s="8" t="s">
        <v>446</v>
      </c>
      <c r="H67" s="8" t="s">
        <v>238</v>
      </c>
      <c r="I67" s="8" t="s">
        <v>445</v>
      </c>
      <c r="J67" s="8" t="s">
        <v>443</v>
      </c>
    </row>
    <row r="68" customFormat="false" ht="36" hidden="false" customHeight="true" outlineLevel="0" collapsed="false">
      <c r="A68" s="9" t="s">
        <v>449</v>
      </c>
      <c r="B68" s="9" t="s">
        <v>450</v>
      </c>
      <c r="C68" s="9"/>
      <c r="D68" s="9" t="s">
        <v>46</v>
      </c>
      <c r="E68" s="9" t="s">
        <v>154</v>
      </c>
      <c r="F68" s="9" t="s">
        <v>451</v>
      </c>
      <c r="G68" s="9" t="s">
        <v>452</v>
      </c>
      <c r="H68" s="9" t="s">
        <v>453</v>
      </c>
      <c r="I68" s="9" t="s">
        <v>454</v>
      </c>
      <c r="J68" s="9" t="s">
        <v>455</v>
      </c>
    </row>
    <row r="69" customFormat="false" ht="36" hidden="false" customHeight="true" outlineLevel="0" collapsed="false">
      <c r="A69" s="8" t="s">
        <v>456</v>
      </c>
      <c r="B69" s="8" t="s">
        <v>457</v>
      </c>
      <c r="C69" s="8" t="s">
        <v>455</v>
      </c>
      <c r="D69" s="8" t="s">
        <v>46</v>
      </c>
      <c r="E69" s="8" t="s">
        <v>154</v>
      </c>
      <c r="F69" s="8" t="s">
        <v>458</v>
      </c>
      <c r="G69" s="8" t="s">
        <v>459</v>
      </c>
      <c r="H69" s="8" t="s">
        <v>400</v>
      </c>
      <c r="I69" s="8" t="s">
        <v>460</v>
      </c>
      <c r="J69" s="8" t="s">
        <v>461</v>
      </c>
    </row>
    <row r="70" customFormat="false" ht="36" hidden="false" customHeight="true" outlineLevel="0" collapsed="false">
      <c r="A70" s="9" t="s">
        <v>462</v>
      </c>
      <c r="B70" s="9" t="s">
        <v>463</v>
      </c>
      <c r="C70" s="9"/>
      <c r="D70" s="9" t="s">
        <v>46</v>
      </c>
      <c r="E70" s="9" t="s">
        <v>154</v>
      </c>
      <c r="F70" s="9" t="s">
        <v>464</v>
      </c>
      <c r="G70" s="9" t="s">
        <v>465</v>
      </c>
      <c r="H70" s="9" t="s">
        <v>84</v>
      </c>
      <c r="I70" s="9" t="s">
        <v>466</v>
      </c>
      <c r="J70" s="9" t="s">
        <v>383</v>
      </c>
    </row>
    <row r="71" customFormat="false" ht="36" hidden="false" customHeight="true" outlineLevel="0" collapsed="false">
      <c r="A71" s="8" t="s">
        <v>467</v>
      </c>
      <c r="B71" s="8" t="s">
        <v>468</v>
      </c>
      <c r="C71" s="8"/>
      <c r="D71" s="8" t="s">
        <v>46</v>
      </c>
      <c r="E71" s="8" t="s">
        <v>154</v>
      </c>
      <c r="F71" s="8" t="s">
        <v>469</v>
      </c>
      <c r="G71" s="8" t="s">
        <v>470</v>
      </c>
      <c r="H71" s="8" t="s">
        <v>471</v>
      </c>
      <c r="I71" s="8" t="s">
        <v>472</v>
      </c>
      <c r="J71" s="8" t="s">
        <v>473</v>
      </c>
    </row>
    <row r="72" customFormat="false" ht="36" hidden="false" customHeight="true" outlineLevel="0" collapsed="false">
      <c r="A72" s="9" t="s">
        <v>474</v>
      </c>
      <c r="B72" s="9" t="s">
        <v>475</v>
      </c>
      <c r="C72" s="9" t="s">
        <v>476</v>
      </c>
      <c r="D72" s="9" t="s">
        <v>46</v>
      </c>
      <c r="E72" s="9" t="s">
        <v>477</v>
      </c>
      <c r="F72" s="9" t="s">
        <v>478</v>
      </c>
      <c r="G72" s="9" t="s">
        <v>479</v>
      </c>
      <c r="H72" s="9" t="s">
        <v>480</v>
      </c>
      <c r="I72" s="9" t="s">
        <v>481</v>
      </c>
      <c r="J72" s="9" t="s">
        <v>482</v>
      </c>
    </row>
    <row r="73" customFormat="false" ht="36" hidden="false" customHeight="true" outlineLevel="0" collapsed="false">
      <c r="A73" s="8" t="s">
        <v>483</v>
      </c>
      <c r="B73" s="8" t="s">
        <v>484</v>
      </c>
      <c r="C73" s="8"/>
      <c r="D73" s="8" t="s">
        <v>46</v>
      </c>
      <c r="E73" s="8" t="s">
        <v>485</v>
      </c>
      <c r="F73" s="8" t="s">
        <v>486</v>
      </c>
      <c r="G73" s="8" t="s">
        <v>487</v>
      </c>
      <c r="H73" s="8" t="s">
        <v>488</v>
      </c>
      <c r="I73" s="8" t="s">
        <v>489</v>
      </c>
      <c r="J73" s="8" t="s">
        <v>490</v>
      </c>
    </row>
    <row r="74" customFormat="false" ht="36" hidden="false" customHeight="true" outlineLevel="0" collapsed="false">
      <c r="A74" s="9" t="s">
        <v>491</v>
      </c>
      <c r="B74" s="9" t="s">
        <v>492</v>
      </c>
      <c r="C74" s="9"/>
      <c r="D74" s="9" t="s">
        <v>46</v>
      </c>
      <c r="E74" s="9" t="s">
        <v>485</v>
      </c>
      <c r="F74" s="9" t="s">
        <v>493</v>
      </c>
      <c r="G74" s="9" t="s">
        <v>494</v>
      </c>
      <c r="H74" s="9" t="s">
        <v>495</v>
      </c>
      <c r="I74" s="9" t="s">
        <v>496</v>
      </c>
      <c r="J74" s="9" t="s">
        <v>497</v>
      </c>
    </row>
    <row r="75" customFormat="false" ht="36" hidden="false" customHeight="true" outlineLevel="0" collapsed="false">
      <c r="A75" s="8" t="s">
        <v>498</v>
      </c>
      <c r="B75" s="8" t="s">
        <v>499</v>
      </c>
      <c r="C75" s="8"/>
      <c r="D75" s="8" t="s">
        <v>46</v>
      </c>
      <c r="E75" s="8" t="s">
        <v>500</v>
      </c>
      <c r="F75" s="8" t="s">
        <v>501</v>
      </c>
      <c r="G75" s="8" t="s">
        <v>502</v>
      </c>
      <c r="H75" s="8" t="s">
        <v>84</v>
      </c>
      <c r="I75" s="8" t="s">
        <v>503</v>
      </c>
      <c r="J75" s="8" t="s">
        <v>504</v>
      </c>
    </row>
    <row r="76" customFormat="false" ht="36" hidden="false" customHeight="true" outlineLevel="0" collapsed="false">
      <c r="A76" s="9" t="s">
        <v>505</v>
      </c>
      <c r="B76" s="9" t="s">
        <v>506</v>
      </c>
      <c r="C76" s="9"/>
      <c r="D76" s="9" t="s">
        <v>46</v>
      </c>
      <c r="E76" s="9" t="s">
        <v>500</v>
      </c>
      <c r="F76" s="9" t="s">
        <v>507</v>
      </c>
      <c r="G76" s="9" t="s">
        <v>508</v>
      </c>
      <c r="H76" s="9" t="s">
        <v>509</v>
      </c>
      <c r="I76" s="9" t="s">
        <v>510</v>
      </c>
      <c r="J76" s="9" t="s">
        <v>504</v>
      </c>
    </row>
    <row r="77" customFormat="false" ht="36" hidden="false" customHeight="true" outlineLevel="0" collapsed="false">
      <c r="A77" s="8" t="s">
        <v>511</v>
      </c>
      <c r="B77" s="8" t="s">
        <v>512</v>
      </c>
      <c r="C77" s="8"/>
      <c r="D77" s="8" t="s">
        <v>46</v>
      </c>
      <c r="E77" s="8" t="s">
        <v>500</v>
      </c>
      <c r="F77" s="8" t="s">
        <v>513</v>
      </c>
      <c r="G77" s="8" t="s">
        <v>514</v>
      </c>
      <c r="H77" s="8" t="s">
        <v>84</v>
      </c>
      <c r="I77" s="8" t="s">
        <v>515</v>
      </c>
      <c r="J77" s="8" t="s">
        <v>516</v>
      </c>
    </row>
    <row r="78" customFormat="false" ht="36" hidden="false" customHeight="true" outlineLevel="0" collapsed="false">
      <c r="A78" s="9" t="s">
        <v>517</v>
      </c>
      <c r="B78" s="9" t="s">
        <v>518</v>
      </c>
      <c r="C78" s="9"/>
      <c r="D78" s="9" t="s">
        <v>46</v>
      </c>
      <c r="E78" s="9" t="s">
        <v>154</v>
      </c>
      <c r="F78" s="9" t="s">
        <v>519</v>
      </c>
      <c r="G78" s="9" t="s">
        <v>520</v>
      </c>
      <c r="H78" s="9" t="s">
        <v>84</v>
      </c>
      <c r="I78" s="9" t="s">
        <v>521</v>
      </c>
      <c r="J78" s="9" t="s">
        <v>176</v>
      </c>
    </row>
    <row r="79" customFormat="false" ht="36" hidden="false" customHeight="true" outlineLevel="0" collapsed="false">
      <c r="A79" s="8" t="s">
        <v>522</v>
      </c>
      <c r="B79" s="8" t="s">
        <v>523</v>
      </c>
      <c r="C79" s="8" t="s">
        <v>524</v>
      </c>
      <c r="D79" s="8" t="s">
        <v>46</v>
      </c>
      <c r="E79" s="8" t="s">
        <v>525</v>
      </c>
      <c r="F79" s="8" t="s">
        <v>526</v>
      </c>
      <c r="G79" s="8" t="s">
        <v>527</v>
      </c>
      <c r="H79" s="8" t="s">
        <v>84</v>
      </c>
      <c r="I79" s="8" t="s">
        <v>528</v>
      </c>
      <c r="J79" s="8" t="s">
        <v>397</v>
      </c>
    </row>
    <row r="80" customFormat="false" ht="36" hidden="false" customHeight="true" outlineLevel="0" collapsed="false">
      <c r="A80" s="9" t="s">
        <v>529</v>
      </c>
      <c r="B80" s="9" t="s">
        <v>530</v>
      </c>
      <c r="C80" s="9" t="s">
        <v>531</v>
      </c>
      <c r="D80" s="9" t="s">
        <v>46</v>
      </c>
      <c r="E80" s="9" t="s">
        <v>525</v>
      </c>
      <c r="F80" s="9" t="s">
        <v>532</v>
      </c>
      <c r="G80" s="9" t="s">
        <v>533</v>
      </c>
      <c r="H80" s="9" t="s">
        <v>534</v>
      </c>
      <c r="I80" s="9" t="s">
        <v>535</v>
      </c>
      <c r="J80" s="9" t="s">
        <v>536</v>
      </c>
    </row>
    <row r="81" customFormat="false" ht="36" hidden="false" customHeight="true" outlineLevel="0" collapsed="false">
      <c r="A81" s="8" t="s">
        <v>537</v>
      </c>
      <c r="B81" s="8" t="s">
        <v>538</v>
      </c>
      <c r="C81" s="8" t="s">
        <v>539</v>
      </c>
      <c r="D81" s="8" t="s">
        <v>46</v>
      </c>
      <c r="E81" s="8" t="s">
        <v>320</v>
      </c>
      <c r="F81" s="8" t="s">
        <v>540</v>
      </c>
      <c r="G81" s="8" t="s">
        <v>541</v>
      </c>
      <c r="H81" s="8" t="s">
        <v>542</v>
      </c>
      <c r="I81" s="8" t="s">
        <v>543</v>
      </c>
      <c r="J81" s="8" t="s">
        <v>320</v>
      </c>
    </row>
    <row r="82" customFormat="false" ht="36" hidden="false" customHeight="true" outlineLevel="0" collapsed="false">
      <c r="A82" s="9" t="s">
        <v>544</v>
      </c>
      <c r="B82" s="9" t="s">
        <v>545</v>
      </c>
      <c r="C82" s="9" t="s">
        <v>546</v>
      </c>
      <c r="D82" s="9" t="s">
        <v>46</v>
      </c>
      <c r="E82" s="9" t="s">
        <v>320</v>
      </c>
      <c r="F82" s="9" t="s">
        <v>547</v>
      </c>
      <c r="G82" s="9" t="s">
        <v>548</v>
      </c>
      <c r="H82" s="9" t="s">
        <v>84</v>
      </c>
      <c r="I82" s="9" t="s">
        <v>549</v>
      </c>
      <c r="J82" s="9" t="s">
        <v>550</v>
      </c>
    </row>
    <row r="83" customFormat="false" ht="36" hidden="false" customHeight="true" outlineLevel="0" collapsed="false">
      <c r="A83" s="8" t="s">
        <v>551</v>
      </c>
      <c r="B83" s="8" t="s">
        <v>552</v>
      </c>
      <c r="C83" s="8" t="s">
        <v>550</v>
      </c>
      <c r="D83" s="8" t="s">
        <v>46</v>
      </c>
      <c r="E83" s="8" t="s">
        <v>320</v>
      </c>
      <c r="F83" s="8" t="s">
        <v>553</v>
      </c>
      <c r="G83" s="8" t="s">
        <v>554</v>
      </c>
      <c r="H83" s="8" t="s">
        <v>555</v>
      </c>
      <c r="I83" s="8" t="s">
        <v>556</v>
      </c>
      <c r="J83" s="8" t="s">
        <v>557</v>
      </c>
    </row>
    <row r="84" customFormat="false" ht="36" hidden="false" customHeight="true" outlineLevel="0" collapsed="false">
      <c r="A84" s="9" t="s">
        <v>558</v>
      </c>
      <c r="B84" s="9" t="s">
        <v>559</v>
      </c>
      <c r="C84" s="9" t="s">
        <v>560</v>
      </c>
      <c r="D84" s="9" t="s">
        <v>46</v>
      </c>
      <c r="E84" s="9" t="s">
        <v>320</v>
      </c>
      <c r="F84" s="9" t="s">
        <v>561</v>
      </c>
      <c r="G84" s="9" t="s">
        <v>562</v>
      </c>
      <c r="H84" s="9" t="s">
        <v>563</v>
      </c>
      <c r="I84" s="9" t="s">
        <v>564</v>
      </c>
      <c r="J84" s="9" t="s">
        <v>565</v>
      </c>
    </row>
    <row r="85" customFormat="false" ht="36" hidden="false" customHeight="true" outlineLevel="0" collapsed="false">
      <c r="A85" s="8" t="s">
        <v>566</v>
      </c>
      <c r="B85" s="8" t="s">
        <v>567</v>
      </c>
      <c r="C85" s="8"/>
      <c r="D85" s="8" t="s">
        <v>46</v>
      </c>
      <c r="E85" s="8" t="s">
        <v>154</v>
      </c>
      <c r="F85" s="8" t="s">
        <v>568</v>
      </c>
      <c r="G85" s="8" t="s">
        <v>569</v>
      </c>
      <c r="H85" s="8" t="s">
        <v>84</v>
      </c>
      <c r="I85" s="8" t="s">
        <v>570</v>
      </c>
      <c r="J85" s="8" t="s">
        <v>571</v>
      </c>
    </row>
    <row r="86" customFormat="false" ht="36" hidden="false" customHeight="true" outlineLevel="0" collapsed="false">
      <c r="A86" s="9" t="s">
        <v>572</v>
      </c>
      <c r="B86" s="9" t="s">
        <v>573</v>
      </c>
      <c r="C86" s="9"/>
      <c r="D86" s="9" t="s">
        <v>46</v>
      </c>
      <c r="E86" s="9" t="s">
        <v>574</v>
      </c>
      <c r="F86" s="9" t="s">
        <v>575</v>
      </c>
      <c r="G86" s="9" t="s">
        <v>576</v>
      </c>
      <c r="H86" s="9" t="s">
        <v>66</v>
      </c>
      <c r="I86" s="9" t="s">
        <v>577</v>
      </c>
      <c r="J86" s="9" t="s">
        <v>571</v>
      </c>
    </row>
    <row r="87" customFormat="false" ht="36" hidden="false" customHeight="true" outlineLevel="0" collapsed="false">
      <c r="A87" s="8" t="s">
        <v>578</v>
      </c>
      <c r="B87" s="8" t="s">
        <v>579</v>
      </c>
      <c r="C87" s="8" t="s">
        <v>250</v>
      </c>
      <c r="D87" s="8" t="s">
        <v>46</v>
      </c>
      <c r="E87" s="8" t="s">
        <v>580</v>
      </c>
      <c r="F87" s="8" t="s">
        <v>581</v>
      </c>
      <c r="G87" s="8" t="s">
        <v>582</v>
      </c>
      <c r="H87" s="8" t="s">
        <v>583</v>
      </c>
      <c r="I87" s="8" t="s">
        <v>584</v>
      </c>
      <c r="J87" s="8" t="s">
        <v>585</v>
      </c>
    </row>
    <row r="88" customFormat="false" ht="36" hidden="false" customHeight="true" outlineLevel="0" collapsed="false">
      <c r="A88" s="9" t="s">
        <v>586</v>
      </c>
      <c r="B88" s="9" t="s">
        <v>580</v>
      </c>
      <c r="C88" s="9"/>
      <c r="D88" s="9" t="s">
        <v>46</v>
      </c>
      <c r="E88" s="9" t="s">
        <v>580</v>
      </c>
      <c r="F88" s="9" t="s">
        <v>587</v>
      </c>
      <c r="G88" s="9" t="s">
        <v>588</v>
      </c>
      <c r="H88" s="9" t="s">
        <v>589</v>
      </c>
      <c r="I88" s="9" t="s">
        <v>590</v>
      </c>
      <c r="J88" s="9" t="s">
        <v>591</v>
      </c>
    </row>
    <row r="89" customFormat="false" ht="36" hidden="false" customHeight="true" outlineLevel="0" collapsed="false">
      <c r="A89" s="8" t="s">
        <v>592</v>
      </c>
      <c r="B89" s="8" t="s">
        <v>593</v>
      </c>
      <c r="C89" s="8"/>
      <c r="D89" s="8" t="s">
        <v>46</v>
      </c>
      <c r="E89" s="8" t="s">
        <v>580</v>
      </c>
      <c r="F89" s="8" t="s">
        <v>594</v>
      </c>
      <c r="G89" s="8" t="s">
        <v>595</v>
      </c>
      <c r="H89" s="8" t="s">
        <v>589</v>
      </c>
      <c r="I89" s="8" t="s">
        <v>596</v>
      </c>
      <c r="J89" s="8" t="s">
        <v>597</v>
      </c>
    </row>
    <row r="90" customFormat="false" ht="36" hidden="false" customHeight="true" outlineLevel="0" collapsed="false">
      <c r="A90" s="9" t="s">
        <v>598</v>
      </c>
      <c r="B90" s="9" t="s">
        <v>599</v>
      </c>
      <c r="C90" s="9" t="s">
        <v>600</v>
      </c>
      <c r="D90" s="9" t="s">
        <v>46</v>
      </c>
      <c r="E90" s="9" t="s">
        <v>580</v>
      </c>
      <c r="F90" s="9" t="s">
        <v>601</v>
      </c>
      <c r="G90" s="9" t="s">
        <v>602</v>
      </c>
      <c r="H90" s="9" t="s">
        <v>453</v>
      </c>
      <c r="I90" s="9" t="s">
        <v>603</v>
      </c>
      <c r="J90" s="9" t="s">
        <v>604</v>
      </c>
    </row>
    <row r="91" customFormat="false" ht="36" hidden="false" customHeight="true" outlineLevel="0" collapsed="false">
      <c r="A91" s="8" t="s">
        <v>605</v>
      </c>
      <c r="B91" s="8" t="s">
        <v>606</v>
      </c>
      <c r="C91" s="8" t="s">
        <v>604</v>
      </c>
      <c r="D91" s="8" t="s">
        <v>46</v>
      </c>
      <c r="E91" s="8" t="s">
        <v>580</v>
      </c>
      <c r="F91" s="8" t="s">
        <v>607</v>
      </c>
      <c r="G91" s="8" t="s">
        <v>608</v>
      </c>
      <c r="H91" s="8" t="s">
        <v>84</v>
      </c>
      <c r="I91" s="8" t="s">
        <v>609</v>
      </c>
      <c r="J91" s="8" t="s">
        <v>600</v>
      </c>
    </row>
    <row r="92" customFormat="false" ht="36" hidden="false" customHeight="true" outlineLevel="0" collapsed="false">
      <c r="A92" s="9" t="s">
        <v>610</v>
      </c>
      <c r="B92" s="9" t="s">
        <v>611</v>
      </c>
      <c r="C92" s="9"/>
      <c r="D92" s="9" t="s">
        <v>46</v>
      </c>
      <c r="E92" s="9" t="s">
        <v>580</v>
      </c>
      <c r="F92" s="9" t="s">
        <v>612</v>
      </c>
      <c r="G92" s="9" t="s">
        <v>613</v>
      </c>
      <c r="H92" s="9" t="s">
        <v>84</v>
      </c>
      <c r="I92" s="9" t="s">
        <v>614</v>
      </c>
      <c r="J92" s="9" t="s">
        <v>615</v>
      </c>
    </row>
    <row r="93" customFormat="false" ht="36" hidden="false" customHeight="true" outlineLevel="0" collapsed="false">
      <c r="A93" s="8" t="s">
        <v>616</v>
      </c>
      <c r="B93" s="8" t="s">
        <v>591</v>
      </c>
      <c r="C93" s="8" t="s">
        <v>591</v>
      </c>
      <c r="D93" s="8" t="s">
        <v>46</v>
      </c>
      <c r="E93" s="8" t="s">
        <v>617</v>
      </c>
      <c r="F93" s="8" t="s">
        <v>618</v>
      </c>
      <c r="G93" s="8" t="s">
        <v>591</v>
      </c>
      <c r="H93" s="8" t="s">
        <v>619</v>
      </c>
      <c r="I93" s="8" t="s">
        <v>620</v>
      </c>
      <c r="J93" s="8" t="s">
        <v>580</v>
      </c>
    </row>
    <row r="94" customFormat="false" ht="36" hidden="false" customHeight="true" outlineLevel="0" collapsed="false">
      <c r="A94" s="9" t="s">
        <v>621</v>
      </c>
      <c r="B94" s="9" t="s">
        <v>597</v>
      </c>
      <c r="C94" s="9" t="s">
        <v>597</v>
      </c>
      <c r="D94" s="9" t="s">
        <v>46</v>
      </c>
      <c r="E94" s="9" t="s">
        <v>617</v>
      </c>
      <c r="F94" s="9" t="s">
        <v>622</v>
      </c>
      <c r="G94" s="9" t="s">
        <v>597</v>
      </c>
      <c r="H94" s="9" t="s">
        <v>623</v>
      </c>
      <c r="I94" s="9" t="s">
        <v>624</v>
      </c>
      <c r="J94" s="9" t="s">
        <v>593</v>
      </c>
    </row>
    <row r="95" customFormat="false" ht="36" hidden="false" customHeight="true" outlineLevel="0" collapsed="false">
      <c r="A95" s="8" t="s">
        <v>625</v>
      </c>
      <c r="B95" s="8" t="s">
        <v>585</v>
      </c>
      <c r="C95" s="8" t="s">
        <v>585</v>
      </c>
      <c r="D95" s="8" t="s">
        <v>46</v>
      </c>
      <c r="E95" s="8" t="s">
        <v>617</v>
      </c>
      <c r="F95" s="8" t="s">
        <v>626</v>
      </c>
      <c r="G95" s="8" t="s">
        <v>627</v>
      </c>
      <c r="H95" s="8" t="s">
        <v>589</v>
      </c>
      <c r="I95" s="8" t="s">
        <v>628</v>
      </c>
      <c r="J95" s="8" t="s">
        <v>250</v>
      </c>
    </row>
    <row r="96" customFormat="false" ht="36" hidden="false" customHeight="true" outlineLevel="0" collapsed="false">
      <c r="A96" s="9" t="s">
        <v>629</v>
      </c>
      <c r="B96" s="9" t="s">
        <v>630</v>
      </c>
      <c r="C96" s="9" t="s">
        <v>631</v>
      </c>
      <c r="D96" s="9" t="s">
        <v>46</v>
      </c>
      <c r="E96" s="9" t="s">
        <v>580</v>
      </c>
      <c r="F96" s="9" t="s">
        <v>632</v>
      </c>
      <c r="G96" s="9" t="s">
        <v>633</v>
      </c>
      <c r="H96" s="9" t="s">
        <v>400</v>
      </c>
      <c r="I96" s="9" t="s">
        <v>634</v>
      </c>
      <c r="J96" s="9" t="s">
        <v>635</v>
      </c>
    </row>
    <row r="97" customFormat="false" ht="36" hidden="false" customHeight="true" outlineLevel="0" collapsed="false">
      <c r="A97" s="8" t="s">
        <v>636</v>
      </c>
      <c r="B97" s="8" t="s">
        <v>637</v>
      </c>
      <c r="C97" s="8" t="s">
        <v>635</v>
      </c>
      <c r="D97" s="8" t="s">
        <v>46</v>
      </c>
      <c r="E97" s="8" t="s">
        <v>580</v>
      </c>
      <c r="F97" s="8" t="s">
        <v>638</v>
      </c>
      <c r="G97" s="8" t="s">
        <v>639</v>
      </c>
      <c r="H97" s="8" t="s">
        <v>400</v>
      </c>
      <c r="I97" s="8" t="s">
        <v>640</v>
      </c>
      <c r="J97" s="8" t="s">
        <v>641</v>
      </c>
    </row>
    <row r="98" customFormat="false" ht="36" hidden="false" customHeight="true" outlineLevel="0" collapsed="false">
      <c r="A98" s="9" t="s">
        <v>642</v>
      </c>
      <c r="B98" s="9" t="s">
        <v>643</v>
      </c>
      <c r="C98" s="9" t="s">
        <v>641</v>
      </c>
      <c r="D98" s="9" t="s">
        <v>46</v>
      </c>
      <c r="E98" s="9" t="s">
        <v>580</v>
      </c>
      <c r="F98" s="9" t="s">
        <v>644</v>
      </c>
      <c r="G98" s="9" t="s">
        <v>645</v>
      </c>
      <c r="H98" s="9" t="s">
        <v>400</v>
      </c>
      <c r="I98" s="9" t="s">
        <v>646</v>
      </c>
      <c r="J98" s="9" t="s">
        <v>635</v>
      </c>
    </row>
    <row r="99" customFormat="false" ht="36" hidden="false" customHeight="true" outlineLevel="0" collapsed="false">
      <c r="A99" s="8" t="s">
        <v>647</v>
      </c>
      <c r="B99" s="8" t="s">
        <v>176</v>
      </c>
      <c r="C99" s="8"/>
      <c r="D99" s="8" t="s">
        <v>46</v>
      </c>
      <c r="E99" s="8" t="s">
        <v>269</v>
      </c>
      <c r="F99" s="8" t="s">
        <v>648</v>
      </c>
      <c r="G99" s="8" t="s">
        <v>649</v>
      </c>
      <c r="H99" s="8" t="s">
        <v>650</v>
      </c>
      <c r="I99" s="8" t="s">
        <v>651</v>
      </c>
      <c r="J99" s="8" t="s">
        <v>164</v>
      </c>
    </row>
    <row r="100" customFormat="false" ht="36" hidden="false" customHeight="true" outlineLevel="0" collapsed="false">
      <c r="A100" s="9" t="s">
        <v>652</v>
      </c>
      <c r="B100" s="9" t="s">
        <v>653</v>
      </c>
      <c r="C100" s="9"/>
      <c r="D100" s="9" t="s">
        <v>46</v>
      </c>
      <c r="E100" s="9" t="s">
        <v>269</v>
      </c>
      <c r="F100" s="9" t="s">
        <v>654</v>
      </c>
      <c r="G100" s="9" t="s">
        <v>655</v>
      </c>
      <c r="H100" s="9" t="s">
        <v>238</v>
      </c>
      <c r="I100" s="9" t="s">
        <v>656</v>
      </c>
      <c r="J100" s="9" t="s">
        <v>657</v>
      </c>
    </row>
    <row r="101" customFormat="false" ht="36" hidden="false" customHeight="true" outlineLevel="0" collapsed="false">
      <c r="A101" s="8" t="s">
        <v>658</v>
      </c>
      <c r="B101" s="8" t="s">
        <v>659</v>
      </c>
      <c r="C101" s="8"/>
      <c r="D101" s="8" t="s">
        <v>46</v>
      </c>
      <c r="E101" s="8" t="s">
        <v>269</v>
      </c>
      <c r="F101" s="8" t="s">
        <v>660</v>
      </c>
      <c r="G101" s="8" t="s">
        <v>661</v>
      </c>
      <c r="H101" s="8" t="s">
        <v>238</v>
      </c>
      <c r="I101" s="8" t="s">
        <v>662</v>
      </c>
      <c r="J101" s="8" t="s">
        <v>434</v>
      </c>
    </row>
  </sheetData>
  <autoFilter ref="A4:J101"/>
  <mergeCells count="2">
    <mergeCell ref="A1:J1"/>
    <mergeCell ref="A2:J2"/>
  </mergeCell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&amp;RPage &amp;P / &amp;N</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6" min="6" style="0" width="62"/>
    <col collapsed="false" customWidth="true" hidden="false" outlineLevel="0" max="7" min="7" style="0" width="36"/>
    <col collapsed="false" customWidth="true" hidden="false" outlineLevel="0" max="8" min="8" style="0" width="28"/>
    <col collapsed="false" customWidth="true" hidden="false" outlineLevel="0" max="9" min="9" style="0" width="36"/>
    <col collapsed="false" customWidth="true" hidden="false" outlineLevel="0" max="10" min="10" style="0" width="22"/>
  </cols>
  <sheetData>
    <row r="1" customFormat="false" ht="27.75" hidden="false" customHeight="true" outlineLevel="0" collapsed="false">
      <c r="A1" s="1" t="s">
        <v>2228</v>
      </c>
      <c r="B1" s="1"/>
      <c r="C1" s="1"/>
      <c r="D1" s="1"/>
      <c r="E1" s="1"/>
      <c r="F1" s="1"/>
      <c r="G1" s="1"/>
      <c r="H1" s="1"/>
      <c r="I1" s="1"/>
      <c r="J1" s="1"/>
    </row>
    <row r="2" customFormat="false" ht="18" hidden="false" customHeight="true" outlineLevel="0" collapsed="false">
      <c r="A2" s="2" t="s">
        <v>1</v>
      </c>
      <c r="B2" s="2"/>
      <c r="C2" s="2"/>
      <c r="D2" s="2"/>
      <c r="E2" s="2"/>
      <c r="F2" s="2"/>
      <c r="G2" s="2"/>
      <c r="H2" s="2"/>
      <c r="I2" s="2"/>
      <c r="J2" s="2"/>
    </row>
    <row r="4" customFormat="false" ht="15" hidden="false" customHeight="false" outlineLevel="0" collapsed="false">
      <c r="A4" s="10" t="s">
        <v>34</v>
      </c>
      <c r="B4" s="10" t="s">
        <v>35</v>
      </c>
      <c r="C4" s="10" t="s">
        <v>36</v>
      </c>
      <c r="D4" s="10" t="s">
        <v>37</v>
      </c>
      <c r="E4" s="10" t="s">
        <v>38</v>
      </c>
      <c r="F4" s="10" t="s">
        <v>39</v>
      </c>
      <c r="G4" s="10" t="s">
        <v>40</v>
      </c>
      <c r="H4" s="10" t="s">
        <v>41</v>
      </c>
      <c r="I4" s="10" t="s">
        <v>42</v>
      </c>
      <c r="J4" s="10" t="s">
        <v>43</v>
      </c>
    </row>
    <row r="5" customFormat="false" ht="36" hidden="false" customHeight="true" outlineLevel="0" collapsed="false">
      <c r="A5" s="8" t="s">
        <v>663</v>
      </c>
      <c r="B5" s="8" t="s">
        <v>664</v>
      </c>
      <c r="C5" s="8" t="s">
        <v>118</v>
      </c>
      <c r="D5" s="8" t="s">
        <v>665</v>
      </c>
      <c r="E5" s="8" t="s">
        <v>666</v>
      </c>
      <c r="F5" s="8" t="s">
        <v>667</v>
      </c>
      <c r="G5" s="8" t="s">
        <v>668</v>
      </c>
      <c r="H5" s="8" t="s">
        <v>66</v>
      </c>
      <c r="I5" s="8" t="s">
        <v>669</v>
      </c>
      <c r="J5" s="8" t="s">
        <v>108</v>
      </c>
    </row>
    <row r="6" customFormat="false" ht="36" hidden="false" customHeight="true" outlineLevel="0" collapsed="false">
      <c r="A6" s="9" t="s">
        <v>670</v>
      </c>
      <c r="B6" s="9" t="s">
        <v>671</v>
      </c>
      <c r="C6" s="9" t="s">
        <v>672</v>
      </c>
      <c r="D6" s="9" t="s">
        <v>665</v>
      </c>
      <c r="E6" s="9" t="s">
        <v>666</v>
      </c>
      <c r="F6" s="9" t="s">
        <v>673</v>
      </c>
      <c r="G6" s="9" t="s">
        <v>674</v>
      </c>
      <c r="H6" s="9" t="s">
        <v>66</v>
      </c>
      <c r="I6" s="9" t="s">
        <v>675</v>
      </c>
      <c r="J6" s="9" t="s">
        <v>118</v>
      </c>
    </row>
    <row r="7" customFormat="false" ht="36" hidden="false" customHeight="true" outlineLevel="0" collapsed="false">
      <c r="A7" s="8" t="s">
        <v>676</v>
      </c>
      <c r="B7" s="8" t="s">
        <v>677</v>
      </c>
      <c r="C7" s="8" t="s">
        <v>678</v>
      </c>
      <c r="D7" s="8" t="s">
        <v>665</v>
      </c>
      <c r="E7" s="8" t="s">
        <v>666</v>
      </c>
      <c r="F7" s="8" t="s">
        <v>679</v>
      </c>
      <c r="G7" s="8" t="s">
        <v>680</v>
      </c>
      <c r="H7" s="8" t="s">
        <v>66</v>
      </c>
      <c r="I7" s="8" t="s">
        <v>681</v>
      </c>
      <c r="J7" s="8" t="s">
        <v>108</v>
      </c>
    </row>
    <row r="8" customFormat="false" ht="36" hidden="false" customHeight="true" outlineLevel="0" collapsed="false">
      <c r="A8" s="9" t="s">
        <v>682</v>
      </c>
      <c r="B8" s="9" t="s">
        <v>683</v>
      </c>
      <c r="C8" s="9" t="s">
        <v>684</v>
      </c>
      <c r="D8" s="9" t="s">
        <v>665</v>
      </c>
      <c r="E8" s="9" t="s">
        <v>666</v>
      </c>
      <c r="F8" s="9" t="s">
        <v>685</v>
      </c>
      <c r="G8" s="9" t="s">
        <v>686</v>
      </c>
      <c r="H8" s="9" t="s">
        <v>66</v>
      </c>
      <c r="I8" s="9" t="s">
        <v>687</v>
      </c>
      <c r="J8" s="9" t="s">
        <v>678</v>
      </c>
    </row>
    <row r="9" customFormat="false" ht="36" hidden="false" customHeight="true" outlineLevel="0" collapsed="false">
      <c r="A9" s="8" t="s">
        <v>688</v>
      </c>
      <c r="B9" s="8" t="s">
        <v>689</v>
      </c>
      <c r="C9" s="8" t="s">
        <v>690</v>
      </c>
      <c r="D9" s="8" t="s">
        <v>665</v>
      </c>
      <c r="E9" s="8" t="s">
        <v>666</v>
      </c>
      <c r="F9" s="8" t="s">
        <v>691</v>
      </c>
      <c r="G9" s="8" t="s">
        <v>692</v>
      </c>
      <c r="H9" s="8" t="s">
        <v>66</v>
      </c>
      <c r="I9" s="8" t="s">
        <v>693</v>
      </c>
      <c r="J9" s="8" t="s">
        <v>694</v>
      </c>
    </row>
    <row r="10" customFormat="false" ht="36" hidden="false" customHeight="true" outlineLevel="0" collapsed="false">
      <c r="A10" s="9" t="s">
        <v>695</v>
      </c>
      <c r="B10" s="9" t="s">
        <v>696</v>
      </c>
      <c r="C10" s="9" t="s">
        <v>92</v>
      </c>
      <c r="D10" s="9" t="s">
        <v>665</v>
      </c>
      <c r="E10" s="9" t="s">
        <v>666</v>
      </c>
      <c r="F10" s="9" t="s">
        <v>697</v>
      </c>
      <c r="G10" s="9" t="s">
        <v>698</v>
      </c>
      <c r="H10" s="9" t="s">
        <v>699</v>
      </c>
      <c r="I10" s="9" t="s">
        <v>700</v>
      </c>
      <c r="J10" s="9" t="s">
        <v>80</v>
      </c>
    </row>
    <row r="11" customFormat="false" ht="36" hidden="false" customHeight="true" outlineLevel="0" collapsed="false">
      <c r="A11" s="8" t="s">
        <v>701</v>
      </c>
      <c r="B11" s="8" t="s">
        <v>702</v>
      </c>
      <c r="C11" s="8" t="s">
        <v>105</v>
      </c>
      <c r="D11" s="8" t="s">
        <v>665</v>
      </c>
      <c r="E11" s="8" t="s">
        <v>666</v>
      </c>
      <c r="F11" s="8" t="s">
        <v>703</v>
      </c>
      <c r="G11" s="8" t="s">
        <v>704</v>
      </c>
      <c r="H11" s="8" t="s">
        <v>66</v>
      </c>
      <c r="I11" s="8" t="s">
        <v>705</v>
      </c>
      <c r="J11" s="8" t="s">
        <v>99</v>
      </c>
    </row>
    <row r="12" customFormat="false" ht="36" hidden="false" customHeight="true" outlineLevel="0" collapsed="false">
      <c r="A12" s="9" t="s">
        <v>706</v>
      </c>
      <c r="B12" s="9" t="s">
        <v>707</v>
      </c>
      <c r="C12" s="9"/>
      <c r="D12" s="9" t="s">
        <v>665</v>
      </c>
      <c r="E12" s="9" t="s">
        <v>708</v>
      </c>
      <c r="F12" s="9" t="s">
        <v>709</v>
      </c>
      <c r="G12" s="9" t="s">
        <v>710</v>
      </c>
      <c r="H12" s="9" t="s">
        <v>66</v>
      </c>
      <c r="I12" s="9" t="s">
        <v>711</v>
      </c>
      <c r="J12" s="9" t="s">
        <v>359</v>
      </c>
    </row>
    <row r="13" customFormat="false" ht="36" hidden="false" customHeight="true" outlineLevel="0" collapsed="false">
      <c r="A13" s="8" t="s">
        <v>712</v>
      </c>
      <c r="B13" s="8" t="s">
        <v>713</v>
      </c>
      <c r="C13" s="8"/>
      <c r="D13" s="8" t="s">
        <v>665</v>
      </c>
      <c r="E13" s="8" t="s">
        <v>708</v>
      </c>
      <c r="F13" s="8" t="s">
        <v>714</v>
      </c>
      <c r="G13" s="8" t="s">
        <v>715</v>
      </c>
      <c r="H13" s="8" t="s">
        <v>66</v>
      </c>
      <c r="I13" s="8" t="s">
        <v>716</v>
      </c>
      <c r="J13" s="8" t="s">
        <v>717</v>
      </c>
    </row>
    <row r="14" customFormat="false" ht="36" hidden="false" customHeight="true" outlineLevel="0" collapsed="false">
      <c r="A14" s="9" t="s">
        <v>718</v>
      </c>
      <c r="B14" s="9" t="s">
        <v>719</v>
      </c>
      <c r="C14" s="9" t="s">
        <v>720</v>
      </c>
      <c r="D14" s="9" t="s">
        <v>665</v>
      </c>
      <c r="E14" s="9" t="s">
        <v>708</v>
      </c>
      <c r="F14" s="9" t="s">
        <v>721</v>
      </c>
      <c r="G14" s="9" t="s">
        <v>722</v>
      </c>
      <c r="H14" s="9" t="s">
        <v>66</v>
      </c>
      <c r="I14" s="9" t="s">
        <v>143</v>
      </c>
      <c r="J14" s="9" t="s">
        <v>723</v>
      </c>
    </row>
    <row r="15" customFormat="false" ht="36" hidden="false" customHeight="true" outlineLevel="0" collapsed="false">
      <c r="A15" s="8" t="s">
        <v>724</v>
      </c>
      <c r="B15" s="8" t="s">
        <v>725</v>
      </c>
      <c r="C15" s="8"/>
      <c r="D15" s="8" t="s">
        <v>665</v>
      </c>
      <c r="E15" s="8" t="s">
        <v>708</v>
      </c>
      <c r="F15" s="8" t="s">
        <v>726</v>
      </c>
      <c r="G15" s="8" t="s">
        <v>727</v>
      </c>
      <c r="H15" s="8" t="s">
        <v>728</v>
      </c>
      <c r="I15" s="8" t="s">
        <v>729</v>
      </c>
      <c r="J15" s="8" t="s">
        <v>730</v>
      </c>
    </row>
    <row r="16" customFormat="false" ht="36" hidden="false" customHeight="true" outlineLevel="0" collapsed="false">
      <c r="A16" s="9" t="s">
        <v>731</v>
      </c>
      <c r="B16" s="9" t="s">
        <v>732</v>
      </c>
      <c r="C16" s="9" t="s">
        <v>733</v>
      </c>
      <c r="D16" s="9" t="s">
        <v>665</v>
      </c>
      <c r="E16" s="9" t="s">
        <v>734</v>
      </c>
      <c r="F16" s="9" t="s">
        <v>735</v>
      </c>
      <c r="G16" s="9" t="s">
        <v>736</v>
      </c>
      <c r="H16" s="9" t="s">
        <v>737</v>
      </c>
      <c r="I16" s="9" t="s">
        <v>738</v>
      </c>
      <c r="J16" s="9" t="s">
        <v>739</v>
      </c>
    </row>
    <row r="17" customFormat="false" ht="36" hidden="false" customHeight="true" outlineLevel="0" collapsed="false">
      <c r="A17" s="8" t="s">
        <v>740</v>
      </c>
      <c r="B17" s="8" t="s">
        <v>741</v>
      </c>
      <c r="C17" s="8" t="s">
        <v>739</v>
      </c>
      <c r="D17" s="8" t="s">
        <v>665</v>
      </c>
      <c r="E17" s="8" t="s">
        <v>734</v>
      </c>
      <c r="F17" s="8" t="s">
        <v>742</v>
      </c>
      <c r="G17" s="8" t="s">
        <v>743</v>
      </c>
      <c r="H17" s="8" t="s">
        <v>744</v>
      </c>
      <c r="I17" s="8" t="s">
        <v>745</v>
      </c>
      <c r="J17" s="8" t="s">
        <v>746</v>
      </c>
    </row>
    <row r="18" customFormat="false" ht="36" hidden="false" customHeight="true" outlineLevel="0" collapsed="false">
      <c r="A18" s="9" t="s">
        <v>747</v>
      </c>
      <c r="B18" s="9" t="s">
        <v>748</v>
      </c>
      <c r="C18" s="9" t="s">
        <v>734</v>
      </c>
      <c r="D18" s="9" t="s">
        <v>665</v>
      </c>
      <c r="E18" s="9" t="s">
        <v>734</v>
      </c>
      <c r="F18" s="9" t="s">
        <v>749</v>
      </c>
      <c r="G18" s="9" t="s">
        <v>750</v>
      </c>
      <c r="H18" s="9" t="s">
        <v>75</v>
      </c>
      <c r="I18" s="9" t="s">
        <v>751</v>
      </c>
      <c r="J18" s="9" t="s">
        <v>536</v>
      </c>
    </row>
    <row r="19" customFormat="false" ht="36" hidden="false" customHeight="true" outlineLevel="0" collapsed="false">
      <c r="A19" s="8" t="s">
        <v>752</v>
      </c>
      <c r="B19" s="8" t="s">
        <v>753</v>
      </c>
      <c r="C19" s="8" t="s">
        <v>536</v>
      </c>
      <c r="D19" s="8" t="s">
        <v>665</v>
      </c>
      <c r="E19" s="8" t="s">
        <v>525</v>
      </c>
      <c r="F19" s="8" t="s">
        <v>754</v>
      </c>
      <c r="G19" s="8" t="s">
        <v>755</v>
      </c>
      <c r="H19" s="8" t="s">
        <v>534</v>
      </c>
      <c r="I19" s="8" t="s">
        <v>756</v>
      </c>
      <c r="J19" s="8" t="s">
        <v>757</v>
      </c>
    </row>
    <row r="20" customFormat="false" ht="36" hidden="false" customHeight="true" outlineLevel="0" collapsed="false">
      <c r="A20" s="9" t="s">
        <v>758</v>
      </c>
      <c r="B20" s="9" t="s">
        <v>759</v>
      </c>
      <c r="C20" s="9"/>
      <c r="D20" s="9" t="s">
        <v>665</v>
      </c>
      <c r="E20" s="9" t="s">
        <v>734</v>
      </c>
      <c r="F20" s="9" t="s">
        <v>760</v>
      </c>
      <c r="G20" s="9" t="s">
        <v>761</v>
      </c>
      <c r="H20" s="9" t="s">
        <v>762</v>
      </c>
      <c r="I20" s="9" t="s">
        <v>763</v>
      </c>
      <c r="J20" s="9" t="s">
        <v>764</v>
      </c>
    </row>
    <row r="21" customFormat="false" ht="36" hidden="false" customHeight="true" outlineLevel="0" collapsed="false">
      <c r="A21" s="8" t="s">
        <v>765</v>
      </c>
      <c r="B21" s="8" t="s">
        <v>766</v>
      </c>
      <c r="C21" s="8" t="s">
        <v>764</v>
      </c>
      <c r="D21" s="8" t="s">
        <v>665</v>
      </c>
      <c r="E21" s="8" t="s">
        <v>767</v>
      </c>
      <c r="F21" s="8" t="s">
        <v>768</v>
      </c>
      <c r="G21" s="8" t="s">
        <v>769</v>
      </c>
      <c r="H21" s="8" t="s">
        <v>770</v>
      </c>
      <c r="I21" s="8" t="s">
        <v>771</v>
      </c>
      <c r="J21" s="8" t="s">
        <v>772</v>
      </c>
    </row>
    <row r="22" customFormat="false" ht="36" hidden="false" customHeight="true" outlineLevel="0" collapsed="false">
      <c r="A22" s="9" t="s">
        <v>773</v>
      </c>
      <c r="B22" s="9" t="s">
        <v>774</v>
      </c>
      <c r="C22" s="9" t="s">
        <v>775</v>
      </c>
      <c r="D22" s="9" t="s">
        <v>665</v>
      </c>
      <c r="E22" s="9" t="s">
        <v>767</v>
      </c>
      <c r="F22" s="9" t="s">
        <v>776</v>
      </c>
      <c r="G22" s="9" t="s">
        <v>777</v>
      </c>
      <c r="H22" s="9" t="s">
        <v>589</v>
      </c>
      <c r="I22" s="9" t="s">
        <v>778</v>
      </c>
      <c r="J22" s="9" t="s">
        <v>772</v>
      </c>
    </row>
    <row r="23" customFormat="false" ht="36" hidden="false" customHeight="true" outlineLevel="0" collapsed="false">
      <c r="A23" s="8" t="s">
        <v>779</v>
      </c>
      <c r="B23" s="8" t="s">
        <v>780</v>
      </c>
      <c r="C23" s="8" t="s">
        <v>781</v>
      </c>
      <c r="D23" s="8" t="s">
        <v>665</v>
      </c>
      <c r="E23" s="8" t="s">
        <v>767</v>
      </c>
      <c r="F23" s="8" t="s">
        <v>782</v>
      </c>
      <c r="G23" s="8" t="s">
        <v>783</v>
      </c>
      <c r="H23" s="8" t="s">
        <v>589</v>
      </c>
      <c r="I23" s="8" t="s">
        <v>784</v>
      </c>
      <c r="J23" s="8" t="s">
        <v>772</v>
      </c>
    </row>
    <row r="24" customFormat="false" ht="36" hidden="false" customHeight="true" outlineLevel="0" collapsed="false">
      <c r="A24" s="9" t="s">
        <v>785</v>
      </c>
      <c r="B24" s="9" t="s">
        <v>786</v>
      </c>
      <c r="C24" s="9" t="s">
        <v>787</v>
      </c>
      <c r="D24" s="9" t="s">
        <v>665</v>
      </c>
      <c r="E24" s="9" t="s">
        <v>767</v>
      </c>
      <c r="F24" s="9" t="s">
        <v>788</v>
      </c>
      <c r="G24" s="9" t="s">
        <v>789</v>
      </c>
      <c r="H24" s="9" t="s">
        <v>739</v>
      </c>
      <c r="I24" s="9" t="s">
        <v>790</v>
      </c>
      <c r="J24" s="9" t="s">
        <v>791</v>
      </c>
    </row>
    <row r="25" customFormat="false" ht="36" hidden="false" customHeight="true" outlineLevel="0" collapsed="false">
      <c r="A25" s="8" t="s">
        <v>792</v>
      </c>
      <c r="B25" s="8" t="s">
        <v>793</v>
      </c>
      <c r="C25" s="8" t="s">
        <v>794</v>
      </c>
      <c r="D25" s="8" t="s">
        <v>665</v>
      </c>
      <c r="E25" s="8" t="s">
        <v>767</v>
      </c>
      <c r="F25" s="8" t="s">
        <v>795</v>
      </c>
      <c r="G25" s="8" t="s">
        <v>796</v>
      </c>
      <c r="H25" s="8" t="s">
        <v>739</v>
      </c>
      <c r="I25" s="8" t="s">
        <v>797</v>
      </c>
      <c r="J25" s="8" t="s">
        <v>733</v>
      </c>
    </row>
    <row r="26" customFormat="false" ht="36" hidden="false" customHeight="true" outlineLevel="0" collapsed="false">
      <c r="A26" s="9" t="s">
        <v>798</v>
      </c>
      <c r="B26" s="9" t="s">
        <v>799</v>
      </c>
      <c r="C26" s="9" t="s">
        <v>791</v>
      </c>
      <c r="D26" s="9" t="s">
        <v>665</v>
      </c>
      <c r="E26" s="9" t="s">
        <v>734</v>
      </c>
      <c r="F26" s="9" t="s">
        <v>800</v>
      </c>
      <c r="G26" s="9" t="s">
        <v>801</v>
      </c>
      <c r="H26" s="9" t="s">
        <v>802</v>
      </c>
      <c r="I26" s="9" t="s">
        <v>803</v>
      </c>
      <c r="J26" s="9" t="s">
        <v>804</v>
      </c>
    </row>
    <row r="27" customFormat="false" ht="36" hidden="false" customHeight="true" outlineLevel="0" collapsed="false">
      <c r="A27" s="8" t="s">
        <v>805</v>
      </c>
      <c r="B27" s="8" t="s">
        <v>806</v>
      </c>
      <c r="C27" s="8" t="s">
        <v>804</v>
      </c>
      <c r="D27" s="8" t="s">
        <v>665</v>
      </c>
      <c r="E27" s="8" t="s">
        <v>734</v>
      </c>
      <c r="F27" s="8" t="s">
        <v>807</v>
      </c>
      <c r="G27" s="8" t="s">
        <v>808</v>
      </c>
      <c r="H27" s="8" t="s">
        <v>802</v>
      </c>
      <c r="I27" s="8" t="s">
        <v>809</v>
      </c>
      <c r="J27" s="8" t="s">
        <v>791</v>
      </c>
    </row>
    <row r="28" customFormat="false" ht="36" hidden="false" customHeight="true" outlineLevel="0" collapsed="false">
      <c r="A28" s="9" t="s">
        <v>810</v>
      </c>
      <c r="B28" s="9" t="s">
        <v>811</v>
      </c>
      <c r="C28" s="9"/>
      <c r="D28" s="9" t="s">
        <v>665</v>
      </c>
      <c r="E28" s="9" t="s">
        <v>812</v>
      </c>
      <c r="F28" s="9" t="s">
        <v>813</v>
      </c>
      <c r="G28" s="9" t="s">
        <v>814</v>
      </c>
      <c r="H28" s="9" t="s">
        <v>815</v>
      </c>
      <c r="I28" s="9" t="s">
        <v>816</v>
      </c>
      <c r="J28" s="9" t="s">
        <v>817</v>
      </c>
    </row>
    <row r="29" customFormat="false" ht="36" hidden="false" customHeight="true" outlineLevel="0" collapsed="false">
      <c r="A29" s="8" t="s">
        <v>818</v>
      </c>
      <c r="B29" s="8" t="s">
        <v>819</v>
      </c>
      <c r="C29" s="8" t="s">
        <v>820</v>
      </c>
      <c r="D29" s="8" t="s">
        <v>665</v>
      </c>
      <c r="E29" s="8" t="s">
        <v>812</v>
      </c>
      <c r="F29" s="8" t="s">
        <v>821</v>
      </c>
      <c r="G29" s="8" t="s">
        <v>822</v>
      </c>
      <c r="H29" s="8" t="s">
        <v>66</v>
      </c>
      <c r="I29" s="8" t="s">
        <v>823</v>
      </c>
      <c r="J29" s="8" t="s">
        <v>348</v>
      </c>
    </row>
    <row r="30" customFormat="false" ht="36" hidden="false" customHeight="true" outlineLevel="0" collapsed="false">
      <c r="A30" s="9" t="s">
        <v>824</v>
      </c>
      <c r="B30" s="9" t="s">
        <v>825</v>
      </c>
      <c r="C30" s="9" t="s">
        <v>826</v>
      </c>
      <c r="D30" s="9" t="s">
        <v>665</v>
      </c>
      <c r="E30" s="9" t="s">
        <v>812</v>
      </c>
      <c r="F30" s="9" t="s">
        <v>827</v>
      </c>
      <c r="G30" s="9" t="s">
        <v>828</v>
      </c>
      <c r="H30" s="9" t="s">
        <v>66</v>
      </c>
      <c r="I30" s="9" t="s">
        <v>829</v>
      </c>
      <c r="J30" s="9" t="s">
        <v>95</v>
      </c>
    </row>
    <row r="31" customFormat="false" ht="36" hidden="false" customHeight="true" outlineLevel="0" collapsed="false">
      <c r="A31" s="8" t="s">
        <v>830</v>
      </c>
      <c r="B31" s="8" t="s">
        <v>831</v>
      </c>
      <c r="C31" s="8" t="s">
        <v>764</v>
      </c>
      <c r="D31" s="8" t="s">
        <v>665</v>
      </c>
      <c r="E31" s="8" t="s">
        <v>812</v>
      </c>
      <c r="F31" s="8" t="s">
        <v>832</v>
      </c>
      <c r="G31" s="8" t="s">
        <v>833</v>
      </c>
      <c r="H31" s="8" t="s">
        <v>66</v>
      </c>
      <c r="I31" s="8" t="s">
        <v>834</v>
      </c>
      <c r="J31" s="8" t="s">
        <v>80</v>
      </c>
    </row>
    <row r="32" customFormat="false" ht="36" hidden="false" customHeight="true" outlineLevel="0" collapsed="false">
      <c r="A32" s="9" t="s">
        <v>835</v>
      </c>
      <c r="B32" s="9" t="s">
        <v>836</v>
      </c>
      <c r="C32" s="9" t="s">
        <v>837</v>
      </c>
      <c r="D32" s="9" t="s">
        <v>665</v>
      </c>
      <c r="E32" s="9" t="s">
        <v>812</v>
      </c>
      <c r="F32" s="9" t="s">
        <v>838</v>
      </c>
      <c r="G32" s="9" t="s">
        <v>839</v>
      </c>
      <c r="H32" s="9" t="s">
        <v>66</v>
      </c>
      <c r="I32" s="9" t="s">
        <v>840</v>
      </c>
      <c r="J32" s="9" t="s">
        <v>121</v>
      </c>
    </row>
    <row r="33" customFormat="false" ht="36" hidden="false" customHeight="true" outlineLevel="0" collapsed="false">
      <c r="A33" s="8" t="s">
        <v>841</v>
      </c>
      <c r="B33" s="8" t="s">
        <v>842</v>
      </c>
      <c r="C33" s="8" t="s">
        <v>843</v>
      </c>
      <c r="D33" s="8" t="s">
        <v>665</v>
      </c>
      <c r="E33" s="8" t="s">
        <v>812</v>
      </c>
      <c r="F33" s="8" t="s">
        <v>844</v>
      </c>
      <c r="G33" s="8" t="s">
        <v>845</v>
      </c>
      <c r="H33" s="8" t="s">
        <v>66</v>
      </c>
      <c r="I33" s="8" t="s">
        <v>846</v>
      </c>
      <c r="J33" s="8" t="s">
        <v>147</v>
      </c>
    </row>
    <row r="34" customFormat="false" ht="36" hidden="false" customHeight="true" outlineLevel="0" collapsed="false">
      <c r="A34" s="9" t="s">
        <v>847</v>
      </c>
      <c r="B34" s="9" t="s">
        <v>848</v>
      </c>
      <c r="C34" s="9" t="s">
        <v>849</v>
      </c>
      <c r="D34" s="9" t="s">
        <v>665</v>
      </c>
      <c r="E34" s="9" t="s">
        <v>72</v>
      </c>
      <c r="F34" s="9" t="s">
        <v>850</v>
      </c>
      <c r="G34" s="9" t="s">
        <v>851</v>
      </c>
      <c r="H34" s="9" t="s">
        <v>852</v>
      </c>
      <c r="I34" s="9" t="s">
        <v>853</v>
      </c>
      <c r="J34" s="9" t="s">
        <v>730</v>
      </c>
    </row>
    <row r="35" customFormat="false" ht="36" hidden="false" customHeight="true" outlineLevel="0" collapsed="false">
      <c r="A35" s="8" t="s">
        <v>854</v>
      </c>
      <c r="B35" s="8" t="s">
        <v>855</v>
      </c>
      <c r="C35" s="8" t="s">
        <v>730</v>
      </c>
      <c r="D35" s="8" t="s">
        <v>665</v>
      </c>
      <c r="E35" s="8" t="s">
        <v>730</v>
      </c>
      <c r="F35" s="8" t="s">
        <v>856</v>
      </c>
      <c r="G35" s="8" t="s">
        <v>857</v>
      </c>
      <c r="H35" s="8" t="s">
        <v>728</v>
      </c>
      <c r="I35" s="8" t="s">
        <v>858</v>
      </c>
      <c r="J35" s="8" t="s">
        <v>859</v>
      </c>
    </row>
    <row r="36" customFormat="false" ht="36" hidden="false" customHeight="true" outlineLevel="0" collapsed="false">
      <c r="A36" s="9" t="s">
        <v>860</v>
      </c>
      <c r="B36" s="9" t="s">
        <v>861</v>
      </c>
      <c r="C36" s="9" t="s">
        <v>359</v>
      </c>
      <c r="D36" s="9" t="s">
        <v>665</v>
      </c>
      <c r="E36" s="9" t="s">
        <v>730</v>
      </c>
      <c r="F36" s="9" t="s">
        <v>862</v>
      </c>
      <c r="G36" s="9" t="s">
        <v>863</v>
      </c>
      <c r="H36" s="9" t="s">
        <v>728</v>
      </c>
      <c r="I36" s="9" t="s">
        <v>864</v>
      </c>
      <c r="J36" s="9" t="s">
        <v>730</v>
      </c>
    </row>
    <row r="37" customFormat="false" ht="36" hidden="false" customHeight="true" outlineLevel="0" collapsed="false">
      <c r="A37" s="8" t="s">
        <v>865</v>
      </c>
      <c r="B37" s="8" t="s">
        <v>866</v>
      </c>
      <c r="C37" s="8" t="s">
        <v>867</v>
      </c>
      <c r="D37" s="8" t="s">
        <v>665</v>
      </c>
      <c r="E37" s="8" t="s">
        <v>730</v>
      </c>
      <c r="F37" s="8" t="s">
        <v>868</v>
      </c>
      <c r="G37" s="8" t="s">
        <v>869</v>
      </c>
      <c r="H37" s="8" t="s">
        <v>728</v>
      </c>
      <c r="I37" s="8" t="s">
        <v>870</v>
      </c>
      <c r="J37" s="8" t="s">
        <v>871</v>
      </c>
    </row>
    <row r="38" customFormat="false" ht="36" hidden="false" customHeight="true" outlineLevel="0" collapsed="false">
      <c r="A38" s="9" t="s">
        <v>872</v>
      </c>
      <c r="B38" s="9" t="s">
        <v>873</v>
      </c>
      <c r="C38" s="9" t="s">
        <v>873</v>
      </c>
      <c r="D38" s="9" t="s">
        <v>665</v>
      </c>
      <c r="E38" s="9" t="s">
        <v>730</v>
      </c>
      <c r="F38" s="9" t="s">
        <v>874</v>
      </c>
      <c r="G38" s="9" t="s">
        <v>875</v>
      </c>
      <c r="H38" s="9" t="s">
        <v>876</v>
      </c>
      <c r="I38" s="9" t="s">
        <v>877</v>
      </c>
      <c r="J38" s="9" t="s">
        <v>878</v>
      </c>
    </row>
    <row r="39" customFormat="false" ht="36" hidden="false" customHeight="true" outlineLevel="0" collapsed="false">
      <c r="A39" s="8" t="s">
        <v>879</v>
      </c>
      <c r="B39" s="8" t="s">
        <v>880</v>
      </c>
      <c r="C39" s="8" t="s">
        <v>881</v>
      </c>
      <c r="D39" s="8" t="s">
        <v>665</v>
      </c>
      <c r="E39" s="8" t="s">
        <v>730</v>
      </c>
      <c r="F39" s="8" t="s">
        <v>882</v>
      </c>
      <c r="G39" s="8" t="s">
        <v>883</v>
      </c>
      <c r="H39" s="8" t="s">
        <v>884</v>
      </c>
      <c r="I39" s="8" t="s">
        <v>885</v>
      </c>
      <c r="J39" s="8" t="s">
        <v>886</v>
      </c>
    </row>
    <row r="40" customFormat="false" ht="36" hidden="false" customHeight="true" outlineLevel="0" collapsed="false">
      <c r="A40" s="9" t="s">
        <v>887</v>
      </c>
      <c r="B40" s="9" t="s">
        <v>888</v>
      </c>
      <c r="C40" s="9"/>
      <c r="D40" s="9" t="s">
        <v>665</v>
      </c>
      <c r="E40" s="9" t="s">
        <v>328</v>
      </c>
      <c r="F40" s="9" t="s">
        <v>889</v>
      </c>
      <c r="G40" s="9" t="s">
        <v>890</v>
      </c>
      <c r="H40" s="9" t="s">
        <v>84</v>
      </c>
      <c r="I40" s="9" t="s">
        <v>891</v>
      </c>
      <c r="J40" s="9" t="s">
        <v>730</v>
      </c>
    </row>
    <row r="41" customFormat="false" ht="36" hidden="false" customHeight="true" outlineLevel="0" collapsed="false">
      <c r="A41" s="8" t="s">
        <v>892</v>
      </c>
      <c r="B41" s="8" t="s">
        <v>893</v>
      </c>
      <c r="C41" s="8" t="s">
        <v>894</v>
      </c>
      <c r="D41" s="8" t="s">
        <v>665</v>
      </c>
      <c r="E41" s="8" t="s">
        <v>348</v>
      </c>
      <c r="F41" s="8" t="s">
        <v>895</v>
      </c>
      <c r="G41" s="8" t="s">
        <v>896</v>
      </c>
      <c r="H41" s="8" t="s">
        <v>897</v>
      </c>
      <c r="I41" s="8" t="s">
        <v>898</v>
      </c>
      <c r="J41" s="8" t="s">
        <v>348</v>
      </c>
    </row>
    <row r="42" customFormat="false" ht="36" hidden="false" customHeight="true" outlineLevel="0" collapsed="false">
      <c r="A42" s="9" t="s">
        <v>899</v>
      </c>
      <c r="B42" s="9" t="s">
        <v>900</v>
      </c>
      <c r="C42" s="9"/>
      <c r="D42" s="9" t="s">
        <v>665</v>
      </c>
      <c r="E42" s="9" t="s">
        <v>580</v>
      </c>
      <c r="F42" s="9" t="s">
        <v>901</v>
      </c>
      <c r="G42" s="9" t="s">
        <v>902</v>
      </c>
      <c r="H42" s="9" t="s">
        <v>589</v>
      </c>
      <c r="I42" s="9" t="s">
        <v>903</v>
      </c>
      <c r="J42" s="9" t="s">
        <v>894</v>
      </c>
    </row>
  </sheetData>
  <autoFilter ref="A4:J42"/>
  <mergeCells count="2">
    <mergeCell ref="A1:J1"/>
    <mergeCell ref="A2:J2"/>
  </mergeCell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&amp;RPage &amp;P / &amp;N</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6" min="6" style="0" width="62"/>
    <col collapsed="false" customWidth="true" hidden="false" outlineLevel="0" max="7" min="7" style="0" width="36"/>
    <col collapsed="false" customWidth="true" hidden="false" outlineLevel="0" max="8" min="8" style="0" width="28"/>
    <col collapsed="false" customWidth="true" hidden="false" outlineLevel="0" max="9" min="9" style="0" width="36"/>
    <col collapsed="false" customWidth="true" hidden="false" outlineLevel="0" max="10" min="10" style="0" width="22"/>
  </cols>
  <sheetData>
    <row r="1" customFormat="false" ht="27.75" hidden="false" customHeight="true" outlineLevel="0" collapsed="false">
      <c r="A1" s="1" t="s">
        <v>2229</v>
      </c>
      <c r="B1" s="1"/>
      <c r="C1" s="1"/>
      <c r="D1" s="1"/>
      <c r="E1" s="1"/>
      <c r="F1" s="1"/>
      <c r="G1" s="1"/>
      <c r="H1" s="1"/>
      <c r="I1" s="1"/>
      <c r="J1" s="1"/>
    </row>
    <row r="2" customFormat="false" ht="18" hidden="false" customHeight="true" outlineLevel="0" collapsed="false">
      <c r="A2" s="2" t="s">
        <v>1</v>
      </c>
      <c r="B2" s="2"/>
      <c r="C2" s="2"/>
      <c r="D2" s="2"/>
      <c r="E2" s="2"/>
      <c r="F2" s="2"/>
      <c r="G2" s="2"/>
      <c r="H2" s="2"/>
      <c r="I2" s="2"/>
      <c r="J2" s="2"/>
    </row>
    <row r="4" customFormat="false" ht="15" hidden="false" customHeight="false" outlineLevel="0" collapsed="false">
      <c r="A4" s="10" t="s">
        <v>34</v>
      </c>
      <c r="B4" s="10" t="s">
        <v>35</v>
      </c>
      <c r="C4" s="10" t="s">
        <v>36</v>
      </c>
      <c r="D4" s="10" t="s">
        <v>37</v>
      </c>
      <c r="E4" s="10" t="s">
        <v>38</v>
      </c>
      <c r="F4" s="10" t="s">
        <v>39</v>
      </c>
      <c r="G4" s="10" t="s">
        <v>40</v>
      </c>
      <c r="H4" s="10" t="s">
        <v>41</v>
      </c>
      <c r="I4" s="10" t="s">
        <v>42</v>
      </c>
      <c r="J4" s="10" t="s">
        <v>43</v>
      </c>
    </row>
    <row r="5" customFormat="false" ht="36" hidden="false" customHeight="true" outlineLevel="0" collapsed="false">
      <c r="A5" s="8" t="s">
        <v>904</v>
      </c>
      <c r="B5" s="8" t="s">
        <v>905</v>
      </c>
      <c r="C5" s="8" t="s">
        <v>906</v>
      </c>
      <c r="D5" s="8" t="s">
        <v>906</v>
      </c>
      <c r="E5" s="8" t="s">
        <v>47</v>
      </c>
      <c r="F5" s="8" t="s">
        <v>907</v>
      </c>
      <c r="G5" s="8" t="s">
        <v>908</v>
      </c>
      <c r="H5" s="8" t="s">
        <v>909</v>
      </c>
      <c r="I5" s="8" t="s">
        <v>910</v>
      </c>
      <c r="J5" s="8" t="s">
        <v>911</v>
      </c>
    </row>
    <row r="6" customFormat="false" ht="36" hidden="false" customHeight="true" outlineLevel="0" collapsed="false">
      <c r="A6" s="9" t="s">
        <v>912</v>
      </c>
      <c r="B6" s="9" t="s">
        <v>913</v>
      </c>
      <c r="C6" s="9" t="s">
        <v>911</v>
      </c>
      <c r="D6" s="9" t="s">
        <v>906</v>
      </c>
      <c r="E6" s="9" t="s">
        <v>72</v>
      </c>
      <c r="F6" s="9" t="s">
        <v>914</v>
      </c>
      <c r="G6" s="9" t="s">
        <v>915</v>
      </c>
      <c r="H6" s="9" t="s">
        <v>916</v>
      </c>
      <c r="I6" s="9" t="s">
        <v>917</v>
      </c>
      <c r="J6" s="9" t="s">
        <v>918</v>
      </c>
    </row>
    <row r="7" customFormat="false" ht="36" hidden="false" customHeight="true" outlineLevel="0" collapsed="false">
      <c r="A7" s="8" t="s">
        <v>919</v>
      </c>
      <c r="B7" s="8" t="s">
        <v>920</v>
      </c>
      <c r="C7" s="8" t="s">
        <v>921</v>
      </c>
      <c r="D7" s="8" t="s">
        <v>906</v>
      </c>
      <c r="E7" s="8" t="s">
        <v>922</v>
      </c>
      <c r="F7" s="8" t="s">
        <v>923</v>
      </c>
      <c r="G7" s="8" t="s">
        <v>924</v>
      </c>
      <c r="H7" s="8" t="s">
        <v>909</v>
      </c>
      <c r="I7" s="8" t="s">
        <v>925</v>
      </c>
      <c r="J7" s="8" t="s">
        <v>926</v>
      </c>
    </row>
    <row r="8" customFormat="false" ht="36" hidden="false" customHeight="true" outlineLevel="0" collapsed="false">
      <c r="A8" s="9" t="s">
        <v>927</v>
      </c>
      <c r="B8" s="9" t="s">
        <v>926</v>
      </c>
      <c r="C8" s="9" t="s">
        <v>926</v>
      </c>
      <c r="D8" s="9" t="s">
        <v>906</v>
      </c>
      <c r="E8" s="9" t="s">
        <v>922</v>
      </c>
      <c r="F8" s="9" t="s">
        <v>928</v>
      </c>
      <c r="G8" s="9" t="s">
        <v>929</v>
      </c>
      <c r="H8" s="9" t="s">
        <v>930</v>
      </c>
      <c r="I8" s="9" t="s">
        <v>931</v>
      </c>
      <c r="J8" s="9" t="s">
        <v>932</v>
      </c>
    </row>
    <row r="9" customFormat="false" ht="36" hidden="false" customHeight="true" outlineLevel="0" collapsed="false">
      <c r="A9" s="8" t="s">
        <v>933</v>
      </c>
      <c r="B9" s="8" t="s">
        <v>934</v>
      </c>
      <c r="C9" s="8" t="s">
        <v>935</v>
      </c>
      <c r="D9" s="8" t="s">
        <v>906</v>
      </c>
      <c r="E9" s="8" t="s">
        <v>922</v>
      </c>
      <c r="F9" s="8" t="s">
        <v>936</v>
      </c>
      <c r="G9" s="8" t="s">
        <v>937</v>
      </c>
      <c r="H9" s="8" t="s">
        <v>909</v>
      </c>
      <c r="I9" s="8" t="s">
        <v>938</v>
      </c>
      <c r="J9" s="8" t="s">
        <v>939</v>
      </c>
    </row>
    <row r="10" customFormat="false" ht="36" hidden="false" customHeight="true" outlineLevel="0" collapsed="false">
      <c r="A10" s="9" t="s">
        <v>940</v>
      </c>
      <c r="B10" s="9" t="s">
        <v>941</v>
      </c>
      <c r="C10" s="9" t="s">
        <v>942</v>
      </c>
      <c r="D10" s="9" t="s">
        <v>906</v>
      </c>
      <c r="E10" s="9" t="s">
        <v>922</v>
      </c>
      <c r="F10" s="9" t="s">
        <v>943</v>
      </c>
      <c r="G10" s="9" t="s">
        <v>944</v>
      </c>
      <c r="H10" s="9" t="s">
        <v>909</v>
      </c>
      <c r="I10" s="9" t="s">
        <v>945</v>
      </c>
      <c r="J10" s="9" t="s">
        <v>772</v>
      </c>
    </row>
    <row r="11" customFormat="false" ht="36" hidden="false" customHeight="true" outlineLevel="0" collapsed="false">
      <c r="A11" s="8" t="s">
        <v>946</v>
      </c>
      <c r="B11" s="8" t="s">
        <v>947</v>
      </c>
      <c r="C11" s="8" t="s">
        <v>948</v>
      </c>
      <c r="D11" s="8" t="s">
        <v>906</v>
      </c>
      <c r="E11" s="8" t="s">
        <v>922</v>
      </c>
      <c r="F11" s="8" t="s">
        <v>949</v>
      </c>
      <c r="G11" s="8" t="s">
        <v>950</v>
      </c>
      <c r="H11" s="8" t="s">
        <v>909</v>
      </c>
      <c r="I11" s="8" t="s">
        <v>951</v>
      </c>
      <c r="J11" s="8" t="s">
        <v>921</v>
      </c>
    </row>
    <row r="12" customFormat="false" ht="36" hidden="false" customHeight="true" outlineLevel="0" collapsed="false">
      <c r="A12" s="9" t="s">
        <v>952</v>
      </c>
      <c r="B12" s="9" t="s">
        <v>772</v>
      </c>
      <c r="C12" s="9" t="s">
        <v>772</v>
      </c>
      <c r="D12" s="9" t="s">
        <v>906</v>
      </c>
      <c r="E12" s="9" t="s">
        <v>922</v>
      </c>
      <c r="F12" s="9" t="s">
        <v>953</v>
      </c>
      <c r="G12" s="9" t="s">
        <v>954</v>
      </c>
      <c r="H12" s="9" t="s">
        <v>909</v>
      </c>
      <c r="I12" s="9" t="s">
        <v>955</v>
      </c>
      <c r="J12" s="9" t="s">
        <v>956</v>
      </c>
    </row>
    <row r="13" customFormat="false" ht="36" hidden="false" customHeight="true" outlineLevel="0" collapsed="false">
      <c r="A13" s="8" t="s">
        <v>957</v>
      </c>
      <c r="B13" s="8" t="s">
        <v>958</v>
      </c>
      <c r="C13" s="8" t="s">
        <v>958</v>
      </c>
      <c r="D13" s="8" t="s">
        <v>906</v>
      </c>
      <c r="E13" s="8" t="s">
        <v>922</v>
      </c>
      <c r="F13" s="8" t="s">
        <v>959</v>
      </c>
      <c r="G13" s="8" t="s">
        <v>960</v>
      </c>
      <c r="H13" s="8" t="s">
        <v>961</v>
      </c>
      <c r="I13" s="8" t="s">
        <v>962</v>
      </c>
      <c r="J13" s="8" t="s">
        <v>963</v>
      </c>
    </row>
    <row r="14" customFormat="false" ht="36" hidden="false" customHeight="true" outlineLevel="0" collapsed="false">
      <c r="A14" s="9" t="s">
        <v>964</v>
      </c>
      <c r="B14" s="9" t="s">
        <v>965</v>
      </c>
      <c r="C14" s="9" t="s">
        <v>965</v>
      </c>
      <c r="D14" s="9" t="s">
        <v>906</v>
      </c>
      <c r="E14" s="9" t="s">
        <v>922</v>
      </c>
      <c r="F14" s="9" t="s">
        <v>966</v>
      </c>
      <c r="G14" s="9" t="s">
        <v>967</v>
      </c>
      <c r="H14" s="9" t="s">
        <v>909</v>
      </c>
      <c r="I14" s="9" t="s">
        <v>968</v>
      </c>
      <c r="J14" s="9" t="s">
        <v>969</v>
      </c>
    </row>
    <row r="15" customFormat="false" ht="36" hidden="false" customHeight="true" outlineLevel="0" collapsed="false">
      <c r="A15" s="8" t="s">
        <v>970</v>
      </c>
      <c r="B15" s="8" t="s">
        <v>939</v>
      </c>
      <c r="C15" s="8" t="s">
        <v>939</v>
      </c>
      <c r="D15" s="8" t="s">
        <v>906</v>
      </c>
      <c r="E15" s="8" t="s">
        <v>971</v>
      </c>
      <c r="F15" s="8" t="s">
        <v>972</v>
      </c>
      <c r="G15" s="8" t="s">
        <v>973</v>
      </c>
      <c r="H15" s="8" t="s">
        <v>909</v>
      </c>
      <c r="I15" s="8" t="s">
        <v>974</v>
      </c>
      <c r="J15" s="8" t="s">
        <v>975</v>
      </c>
    </row>
    <row r="16" customFormat="false" ht="36" hidden="false" customHeight="true" outlineLevel="0" collapsed="false">
      <c r="A16" s="9" t="s">
        <v>976</v>
      </c>
      <c r="B16" s="9" t="s">
        <v>977</v>
      </c>
      <c r="C16" s="9" t="s">
        <v>978</v>
      </c>
      <c r="D16" s="9" t="s">
        <v>906</v>
      </c>
      <c r="E16" s="9" t="s">
        <v>922</v>
      </c>
      <c r="F16" s="9" t="s">
        <v>979</v>
      </c>
      <c r="G16" s="9" t="s">
        <v>980</v>
      </c>
      <c r="H16" s="9" t="s">
        <v>909</v>
      </c>
      <c r="I16" s="9" t="s">
        <v>981</v>
      </c>
      <c r="J16" s="9" t="s">
        <v>772</v>
      </c>
    </row>
    <row r="17" customFormat="false" ht="36" hidden="false" customHeight="true" outlineLevel="0" collapsed="false">
      <c r="A17" s="8" t="s">
        <v>982</v>
      </c>
      <c r="B17" s="8" t="s">
        <v>983</v>
      </c>
      <c r="C17" s="8" t="s">
        <v>932</v>
      </c>
      <c r="D17" s="8" t="s">
        <v>906</v>
      </c>
      <c r="E17" s="8" t="s">
        <v>984</v>
      </c>
      <c r="F17" s="8" t="s">
        <v>985</v>
      </c>
      <c r="G17" s="8" t="s">
        <v>986</v>
      </c>
      <c r="H17" s="8" t="s">
        <v>987</v>
      </c>
      <c r="I17" s="8" t="s">
        <v>988</v>
      </c>
      <c r="J17" s="8" t="s">
        <v>918</v>
      </c>
    </row>
    <row r="18" customFormat="false" ht="36" hidden="false" customHeight="true" outlineLevel="0" collapsed="false">
      <c r="A18" s="9" t="s">
        <v>989</v>
      </c>
      <c r="B18" s="9" t="s">
        <v>990</v>
      </c>
      <c r="C18" s="9" t="s">
        <v>918</v>
      </c>
      <c r="D18" s="9" t="s">
        <v>906</v>
      </c>
      <c r="E18" s="9" t="s">
        <v>984</v>
      </c>
      <c r="F18" s="9" t="s">
        <v>991</v>
      </c>
      <c r="G18" s="9" t="s">
        <v>992</v>
      </c>
      <c r="H18" s="9" t="s">
        <v>993</v>
      </c>
      <c r="I18" s="9" t="s">
        <v>994</v>
      </c>
      <c r="J18" s="9" t="s">
        <v>911</v>
      </c>
    </row>
    <row r="19" customFormat="false" ht="36" hidden="false" customHeight="true" outlineLevel="0" collapsed="false">
      <c r="A19" s="8" t="s">
        <v>995</v>
      </c>
      <c r="B19" s="8" t="s">
        <v>996</v>
      </c>
      <c r="C19" s="8"/>
      <c r="D19" s="8" t="s">
        <v>906</v>
      </c>
      <c r="E19" s="8" t="s">
        <v>984</v>
      </c>
      <c r="F19" s="8" t="s">
        <v>997</v>
      </c>
      <c r="G19" s="8" t="s">
        <v>998</v>
      </c>
      <c r="H19" s="8" t="s">
        <v>999</v>
      </c>
      <c r="I19" s="8" t="s">
        <v>1000</v>
      </c>
      <c r="J19" s="8" t="s">
        <v>932</v>
      </c>
    </row>
    <row r="20" customFormat="false" ht="36" hidden="false" customHeight="true" outlineLevel="0" collapsed="false">
      <c r="A20" s="9" t="s">
        <v>1001</v>
      </c>
      <c r="B20" s="9" t="s">
        <v>1002</v>
      </c>
      <c r="C20" s="9" t="s">
        <v>1003</v>
      </c>
      <c r="D20" s="9" t="s">
        <v>906</v>
      </c>
      <c r="E20" s="9" t="s">
        <v>922</v>
      </c>
      <c r="F20" s="9" t="s">
        <v>1004</v>
      </c>
      <c r="G20" s="9" t="s">
        <v>1005</v>
      </c>
      <c r="H20" s="9" t="s">
        <v>909</v>
      </c>
      <c r="I20" s="9" t="s">
        <v>1006</v>
      </c>
      <c r="J20" s="9" t="s">
        <v>921</v>
      </c>
    </row>
    <row r="21" customFormat="false" ht="36" hidden="false" customHeight="true" outlineLevel="0" collapsed="false">
      <c r="A21" s="8" t="s">
        <v>1007</v>
      </c>
      <c r="B21" s="8" t="s">
        <v>1008</v>
      </c>
      <c r="C21" s="8" t="s">
        <v>320</v>
      </c>
      <c r="D21" s="8" t="s">
        <v>906</v>
      </c>
      <c r="E21" s="8" t="s">
        <v>320</v>
      </c>
      <c r="F21" s="8" t="s">
        <v>1009</v>
      </c>
      <c r="G21" s="8" t="s">
        <v>1010</v>
      </c>
      <c r="H21" s="8" t="s">
        <v>542</v>
      </c>
      <c r="I21" s="8" t="s">
        <v>1011</v>
      </c>
      <c r="J21" s="8" t="s">
        <v>1012</v>
      </c>
    </row>
    <row r="22" customFormat="false" ht="36" hidden="false" customHeight="true" outlineLevel="0" collapsed="false">
      <c r="A22" s="9" t="s">
        <v>1013</v>
      </c>
      <c r="B22" s="9" t="s">
        <v>1014</v>
      </c>
      <c r="C22" s="9" t="s">
        <v>1012</v>
      </c>
      <c r="D22" s="9" t="s">
        <v>906</v>
      </c>
      <c r="E22" s="9" t="s">
        <v>320</v>
      </c>
      <c r="F22" s="9" t="s">
        <v>1015</v>
      </c>
      <c r="G22" s="9" t="s">
        <v>1016</v>
      </c>
      <c r="H22" s="9" t="s">
        <v>84</v>
      </c>
      <c r="I22" s="9" t="s">
        <v>1017</v>
      </c>
      <c r="J22" s="9" t="s">
        <v>320</v>
      </c>
    </row>
    <row r="23" customFormat="false" ht="36" hidden="false" customHeight="true" outlineLevel="0" collapsed="false">
      <c r="A23" s="8" t="s">
        <v>1018</v>
      </c>
      <c r="B23" s="8" t="s">
        <v>1019</v>
      </c>
      <c r="C23" s="8" t="s">
        <v>320</v>
      </c>
      <c r="D23" s="8" t="s">
        <v>906</v>
      </c>
      <c r="E23" s="8" t="s">
        <v>320</v>
      </c>
      <c r="F23" s="8" t="s">
        <v>1020</v>
      </c>
      <c r="G23" s="8" t="s">
        <v>1021</v>
      </c>
      <c r="H23" s="8" t="s">
        <v>84</v>
      </c>
      <c r="I23" s="8" t="s">
        <v>1022</v>
      </c>
      <c r="J23" s="8" t="s">
        <v>1023</v>
      </c>
    </row>
    <row r="24" customFormat="false" ht="36" hidden="false" customHeight="true" outlineLevel="0" collapsed="false">
      <c r="A24" s="9" t="s">
        <v>1024</v>
      </c>
      <c r="B24" s="9" t="s">
        <v>1025</v>
      </c>
      <c r="C24" s="9" t="s">
        <v>1026</v>
      </c>
      <c r="D24" s="9" t="s">
        <v>906</v>
      </c>
      <c r="E24" s="9" t="s">
        <v>320</v>
      </c>
      <c r="F24" s="9" t="s">
        <v>1027</v>
      </c>
      <c r="G24" s="9" t="s">
        <v>1028</v>
      </c>
      <c r="H24" s="9" t="s">
        <v>84</v>
      </c>
      <c r="I24" s="9" t="s">
        <v>1029</v>
      </c>
      <c r="J24" s="9" t="s">
        <v>320</v>
      </c>
    </row>
    <row r="25" customFormat="false" ht="36" hidden="false" customHeight="true" outlineLevel="0" collapsed="false">
      <c r="A25" s="8" t="s">
        <v>1030</v>
      </c>
      <c r="B25" s="8" t="s">
        <v>1031</v>
      </c>
      <c r="C25" s="8" t="s">
        <v>320</v>
      </c>
      <c r="D25" s="8" t="s">
        <v>906</v>
      </c>
      <c r="E25" s="8" t="s">
        <v>1032</v>
      </c>
      <c r="F25" s="8" t="s">
        <v>1033</v>
      </c>
      <c r="G25" s="8" t="s">
        <v>1034</v>
      </c>
      <c r="H25" s="8" t="s">
        <v>1035</v>
      </c>
      <c r="I25" s="8" t="s">
        <v>1036</v>
      </c>
      <c r="J25" s="8" t="s">
        <v>1037</v>
      </c>
    </row>
    <row r="26" customFormat="false" ht="36" hidden="false" customHeight="true" outlineLevel="0" collapsed="false">
      <c r="A26" s="9" t="s">
        <v>1038</v>
      </c>
      <c r="B26" s="9" t="s">
        <v>1039</v>
      </c>
      <c r="C26" s="9" t="s">
        <v>1023</v>
      </c>
      <c r="D26" s="9" t="s">
        <v>906</v>
      </c>
      <c r="E26" s="9" t="s">
        <v>1032</v>
      </c>
      <c r="F26" s="9" t="s">
        <v>1040</v>
      </c>
      <c r="G26" s="9" t="s">
        <v>1041</v>
      </c>
      <c r="H26" s="9" t="s">
        <v>84</v>
      </c>
      <c r="I26" s="9" t="s">
        <v>1042</v>
      </c>
      <c r="J26" s="9" t="s">
        <v>320</v>
      </c>
    </row>
    <row r="27" customFormat="false" ht="36" hidden="false" customHeight="true" outlineLevel="0" collapsed="false">
      <c r="A27" s="8" t="s">
        <v>1043</v>
      </c>
      <c r="B27" s="8" t="s">
        <v>1044</v>
      </c>
      <c r="C27" s="8" t="s">
        <v>1045</v>
      </c>
      <c r="D27" s="8" t="s">
        <v>906</v>
      </c>
      <c r="E27" s="8" t="s">
        <v>1032</v>
      </c>
      <c r="F27" s="8" t="s">
        <v>1046</v>
      </c>
      <c r="G27" s="8" t="s">
        <v>1047</v>
      </c>
      <c r="H27" s="8" t="s">
        <v>84</v>
      </c>
      <c r="I27" s="8" t="s">
        <v>1048</v>
      </c>
      <c r="J27" s="8" t="s">
        <v>320</v>
      </c>
    </row>
    <row r="28" customFormat="false" ht="36" hidden="false" customHeight="true" outlineLevel="0" collapsed="false">
      <c r="A28" s="9" t="s">
        <v>1049</v>
      </c>
      <c r="B28" s="9" t="s">
        <v>1050</v>
      </c>
      <c r="C28" s="9" t="s">
        <v>1051</v>
      </c>
      <c r="D28" s="9" t="s">
        <v>906</v>
      </c>
      <c r="E28" s="9" t="s">
        <v>1032</v>
      </c>
      <c r="F28" s="9" t="s">
        <v>1052</v>
      </c>
      <c r="G28" s="9" t="s">
        <v>1053</v>
      </c>
      <c r="H28" s="9" t="s">
        <v>84</v>
      </c>
      <c r="I28" s="9" t="s">
        <v>1054</v>
      </c>
      <c r="J28" s="9" t="s">
        <v>1055</v>
      </c>
    </row>
    <row r="29" customFormat="false" ht="36" hidden="false" customHeight="true" outlineLevel="0" collapsed="false">
      <c r="A29" s="8" t="s">
        <v>1056</v>
      </c>
      <c r="B29" s="8" t="s">
        <v>1057</v>
      </c>
      <c r="C29" s="8" t="s">
        <v>565</v>
      </c>
      <c r="D29" s="8" t="s">
        <v>906</v>
      </c>
      <c r="E29" s="8" t="s">
        <v>1032</v>
      </c>
      <c r="F29" s="8" t="s">
        <v>1058</v>
      </c>
      <c r="G29" s="8" t="s">
        <v>1059</v>
      </c>
      <c r="H29" s="8" t="s">
        <v>84</v>
      </c>
      <c r="I29" s="8" t="s">
        <v>1060</v>
      </c>
      <c r="J29" s="8" t="s">
        <v>560</v>
      </c>
    </row>
    <row r="30" customFormat="false" ht="36" hidden="false" customHeight="true" outlineLevel="0" collapsed="false">
      <c r="A30" s="9" t="s">
        <v>1061</v>
      </c>
      <c r="B30" s="9" t="s">
        <v>1062</v>
      </c>
      <c r="C30" s="9" t="s">
        <v>557</v>
      </c>
      <c r="D30" s="9" t="s">
        <v>906</v>
      </c>
      <c r="E30" s="9" t="s">
        <v>1032</v>
      </c>
      <c r="F30" s="9" t="s">
        <v>1063</v>
      </c>
      <c r="G30" s="9" t="s">
        <v>1064</v>
      </c>
      <c r="H30" s="9" t="s">
        <v>84</v>
      </c>
      <c r="I30" s="9" t="s">
        <v>1065</v>
      </c>
      <c r="J30" s="9" t="s">
        <v>550</v>
      </c>
    </row>
    <row r="31" customFormat="false" ht="36" hidden="false" customHeight="true" outlineLevel="0" collapsed="false">
      <c r="A31" s="8" t="s">
        <v>1066</v>
      </c>
      <c r="B31" s="8" t="s">
        <v>1067</v>
      </c>
      <c r="C31" s="8" t="s">
        <v>1068</v>
      </c>
      <c r="D31" s="8" t="s">
        <v>906</v>
      </c>
      <c r="E31" s="8" t="s">
        <v>1032</v>
      </c>
      <c r="F31" s="8" t="s">
        <v>1069</v>
      </c>
      <c r="G31" s="8" t="s">
        <v>1070</v>
      </c>
      <c r="H31" s="8" t="s">
        <v>84</v>
      </c>
      <c r="I31" s="8" t="s">
        <v>1071</v>
      </c>
      <c r="J31" s="8" t="s">
        <v>134</v>
      </c>
    </row>
    <row r="32" customFormat="false" ht="36" hidden="false" customHeight="true" outlineLevel="0" collapsed="false">
      <c r="A32" s="9" t="s">
        <v>1072</v>
      </c>
      <c r="B32" s="9" t="s">
        <v>1073</v>
      </c>
      <c r="C32" s="9" t="s">
        <v>434</v>
      </c>
      <c r="D32" s="9" t="s">
        <v>906</v>
      </c>
      <c r="E32" s="9" t="s">
        <v>1032</v>
      </c>
      <c r="F32" s="9" t="s">
        <v>1074</v>
      </c>
      <c r="G32" s="9" t="s">
        <v>1075</v>
      </c>
      <c r="H32" s="9" t="s">
        <v>84</v>
      </c>
      <c r="I32" s="9" t="s">
        <v>1076</v>
      </c>
      <c r="J32" s="9" t="s">
        <v>434</v>
      </c>
    </row>
    <row r="33" customFormat="false" ht="36" hidden="false" customHeight="true" outlineLevel="0" collapsed="false">
      <c r="A33" s="8" t="s">
        <v>1077</v>
      </c>
      <c r="B33" s="8" t="s">
        <v>1078</v>
      </c>
      <c r="C33" s="8" t="s">
        <v>1055</v>
      </c>
      <c r="D33" s="8" t="s">
        <v>906</v>
      </c>
      <c r="E33" s="8" t="s">
        <v>320</v>
      </c>
      <c r="F33" s="8" t="s">
        <v>1079</v>
      </c>
      <c r="G33" s="8" t="s">
        <v>1080</v>
      </c>
      <c r="H33" s="8" t="s">
        <v>84</v>
      </c>
      <c r="I33" s="8" t="s">
        <v>1081</v>
      </c>
      <c r="J33" s="8" t="s">
        <v>531</v>
      </c>
    </row>
    <row r="34" customFormat="false" ht="36" hidden="false" customHeight="true" outlineLevel="0" collapsed="false">
      <c r="A34" s="9" t="s">
        <v>1082</v>
      </c>
      <c r="B34" s="9" t="s">
        <v>1083</v>
      </c>
      <c r="C34" s="9" t="s">
        <v>1084</v>
      </c>
      <c r="D34" s="9" t="s">
        <v>906</v>
      </c>
      <c r="E34" s="9" t="s">
        <v>320</v>
      </c>
      <c r="F34" s="9" t="s">
        <v>1085</v>
      </c>
      <c r="G34" s="9" t="s">
        <v>1086</v>
      </c>
      <c r="H34" s="9" t="s">
        <v>320</v>
      </c>
      <c r="I34" s="9" t="s">
        <v>1087</v>
      </c>
      <c r="J34" s="9" t="s">
        <v>320</v>
      </c>
    </row>
    <row r="35" customFormat="false" ht="36" hidden="false" customHeight="true" outlineLevel="0" collapsed="false">
      <c r="A35" s="8" t="s">
        <v>1088</v>
      </c>
      <c r="B35" s="8" t="s">
        <v>1089</v>
      </c>
      <c r="C35" s="8"/>
      <c r="D35" s="8" t="s">
        <v>906</v>
      </c>
      <c r="E35" s="8" t="s">
        <v>320</v>
      </c>
      <c r="F35" s="8" t="s">
        <v>1090</v>
      </c>
      <c r="G35" s="8" t="s">
        <v>1091</v>
      </c>
      <c r="H35" s="8" t="s">
        <v>542</v>
      </c>
      <c r="I35" s="8" t="s">
        <v>1092</v>
      </c>
      <c r="J35" s="8" t="s">
        <v>730</v>
      </c>
    </row>
    <row r="36" customFormat="false" ht="36" hidden="false" customHeight="true" outlineLevel="0" collapsed="false">
      <c r="A36" s="9" t="s">
        <v>1093</v>
      </c>
      <c r="B36" s="9" t="s">
        <v>1094</v>
      </c>
      <c r="C36" s="9" t="s">
        <v>1095</v>
      </c>
      <c r="D36" s="9" t="s">
        <v>906</v>
      </c>
      <c r="E36" s="9" t="s">
        <v>320</v>
      </c>
      <c r="F36" s="9" t="s">
        <v>1096</v>
      </c>
      <c r="G36" s="9" t="s">
        <v>1097</v>
      </c>
      <c r="H36" s="9" t="s">
        <v>84</v>
      </c>
      <c r="I36" s="9" t="s">
        <v>1098</v>
      </c>
      <c r="J36" s="9" t="s">
        <v>1099</v>
      </c>
    </row>
    <row r="37" customFormat="false" ht="36" hidden="false" customHeight="true" outlineLevel="0" collapsed="false">
      <c r="A37" s="8" t="s">
        <v>1100</v>
      </c>
      <c r="B37" s="8" t="s">
        <v>1101</v>
      </c>
      <c r="C37" s="8" t="s">
        <v>1102</v>
      </c>
      <c r="D37" s="8" t="s">
        <v>906</v>
      </c>
      <c r="E37" s="8" t="s">
        <v>320</v>
      </c>
      <c r="F37" s="8" t="s">
        <v>1103</v>
      </c>
      <c r="G37" s="8" t="s">
        <v>1104</v>
      </c>
      <c r="H37" s="8" t="s">
        <v>84</v>
      </c>
      <c r="I37" s="8" t="s">
        <v>1105</v>
      </c>
      <c r="J37" s="8" t="s">
        <v>371</v>
      </c>
    </row>
    <row r="38" customFormat="false" ht="36" hidden="false" customHeight="true" outlineLevel="0" collapsed="false">
      <c r="A38" s="9" t="s">
        <v>1106</v>
      </c>
      <c r="B38" s="9" t="s">
        <v>1107</v>
      </c>
      <c r="C38" s="9"/>
      <c r="D38" s="9" t="s">
        <v>906</v>
      </c>
      <c r="E38" s="9" t="s">
        <v>320</v>
      </c>
      <c r="F38" s="9" t="s">
        <v>1108</v>
      </c>
      <c r="G38" s="9" t="s">
        <v>1109</v>
      </c>
      <c r="H38" s="9" t="s">
        <v>84</v>
      </c>
      <c r="I38" s="9" t="s">
        <v>1110</v>
      </c>
      <c r="J38" s="9" t="s">
        <v>252</v>
      </c>
    </row>
    <row r="39" customFormat="false" ht="36" hidden="false" customHeight="true" outlineLevel="0" collapsed="false">
      <c r="A39" s="8" t="s">
        <v>1111</v>
      </c>
      <c r="B39" s="8" t="s">
        <v>1112</v>
      </c>
      <c r="C39" s="8" t="s">
        <v>1112</v>
      </c>
      <c r="D39" s="8" t="s">
        <v>906</v>
      </c>
      <c r="E39" s="8" t="s">
        <v>269</v>
      </c>
      <c r="F39" s="8" t="s">
        <v>1113</v>
      </c>
      <c r="G39" s="8" t="s">
        <v>1114</v>
      </c>
      <c r="H39" s="8" t="s">
        <v>238</v>
      </c>
      <c r="I39" s="8" t="s">
        <v>1115</v>
      </c>
      <c r="J39" s="8" t="s">
        <v>1116</v>
      </c>
    </row>
    <row r="40" customFormat="false" ht="36" hidden="false" customHeight="true" outlineLevel="0" collapsed="false">
      <c r="A40" s="9" t="s">
        <v>1117</v>
      </c>
      <c r="B40" s="9" t="s">
        <v>1116</v>
      </c>
      <c r="C40" s="9" t="s">
        <v>1116</v>
      </c>
      <c r="D40" s="9" t="s">
        <v>906</v>
      </c>
      <c r="E40" s="9" t="s">
        <v>269</v>
      </c>
      <c r="F40" s="9" t="s">
        <v>1118</v>
      </c>
      <c r="G40" s="9" t="s">
        <v>1119</v>
      </c>
      <c r="H40" s="9" t="s">
        <v>1120</v>
      </c>
      <c r="I40" s="9" t="s">
        <v>1121</v>
      </c>
      <c r="J40" s="9" t="s">
        <v>1112</v>
      </c>
    </row>
    <row r="41" customFormat="false" ht="36" hidden="false" customHeight="true" outlineLevel="0" collapsed="false">
      <c r="A41" s="8" t="s">
        <v>1122</v>
      </c>
      <c r="B41" s="8" t="s">
        <v>1123</v>
      </c>
      <c r="C41" s="8" t="s">
        <v>1123</v>
      </c>
      <c r="D41" s="8" t="s">
        <v>906</v>
      </c>
      <c r="E41" s="8" t="s">
        <v>269</v>
      </c>
      <c r="F41" s="8" t="s">
        <v>1124</v>
      </c>
      <c r="G41" s="8" t="s">
        <v>1125</v>
      </c>
      <c r="H41" s="8" t="s">
        <v>238</v>
      </c>
      <c r="I41" s="8" t="s">
        <v>1126</v>
      </c>
      <c r="J41" s="8" t="s">
        <v>267</v>
      </c>
    </row>
    <row r="42" customFormat="false" ht="36" hidden="false" customHeight="true" outlineLevel="0" collapsed="false">
      <c r="A42" s="9" t="s">
        <v>1127</v>
      </c>
      <c r="B42" s="9" t="s">
        <v>1128</v>
      </c>
      <c r="C42" s="9" t="s">
        <v>1128</v>
      </c>
      <c r="D42" s="9" t="s">
        <v>906</v>
      </c>
      <c r="E42" s="9" t="s">
        <v>170</v>
      </c>
      <c r="F42" s="9" t="s">
        <v>1129</v>
      </c>
      <c r="G42" s="9" t="s">
        <v>1130</v>
      </c>
      <c r="H42" s="9" t="s">
        <v>1131</v>
      </c>
      <c r="I42" s="9" t="s">
        <v>1132</v>
      </c>
      <c r="J42" s="9" t="s">
        <v>208</v>
      </c>
    </row>
    <row r="43" customFormat="false" ht="36" hidden="false" customHeight="true" outlineLevel="0" collapsed="false">
      <c r="A43" s="8" t="s">
        <v>1133</v>
      </c>
      <c r="B43" s="8" t="s">
        <v>1134</v>
      </c>
      <c r="C43" s="8" t="s">
        <v>1135</v>
      </c>
      <c r="D43" s="8" t="s">
        <v>906</v>
      </c>
      <c r="E43" s="8" t="s">
        <v>170</v>
      </c>
      <c r="F43" s="8" t="s">
        <v>1136</v>
      </c>
      <c r="G43" s="8" t="s">
        <v>1137</v>
      </c>
      <c r="H43" s="8" t="s">
        <v>1128</v>
      </c>
      <c r="I43" s="8" t="s">
        <v>1138</v>
      </c>
      <c r="J43" s="8" t="s">
        <v>1139</v>
      </c>
    </row>
    <row r="44" customFormat="false" ht="36" hidden="false" customHeight="true" outlineLevel="0" collapsed="false">
      <c r="A44" s="9" t="s">
        <v>1140</v>
      </c>
      <c r="B44" s="9" t="s">
        <v>1141</v>
      </c>
      <c r="C44" s="9" t="s">
        <v>1139</v>
      </c>
      <c r="D44" s="9" t="s">
        <v>906</v>
      </c>
      <c r="E44" s="9" t="s">
        <v>170</v>
      </c>
      <c r="F44" s="9" t="s">
        <v>1142</v>
      </c>
      <c r="G44" s="9" t="s">
        <v>1143</v>
      </c>
      <c r="H44" s="9" t="s">
        <v>1128</v>
      </c>
      <c r="I44" s="9" t="s">
        <v>1144</v>
      </c>
      <c r="J44" s="9" t="s">
        <v>189</v>
      </c>
    </row>
  </sheetData>
  <autoFilter ref="A4:J44"/>
  <mergeCells count="2">
    <mergeCell ref="A1:J1"/>
    <mergeCell ref="A2:J2"/>
  </mergeCell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&amp;RPage &amp;P / &amp;N</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6" min="6" style="0" width="62"/>
    <col collapsed="false" customWidth="true" hidden="false" outlineLevel="0" max="7" min="7" style="0" width="36"/>
    <col collapsed="false" customWidth="true" hidden="false" outlineLevel="0" max="8" min="8" style="0" width="28"/>
    <col collapsed="false" customWidth="true" hidden="false" outlineLevel="0" max="9" min="9" style="0" width="36"/>
    <col collapsed="false" customWidth="true" hidden="false" outlineLevel="0" max="10" min="10" style="0" width="22"/>
  </cols>
  <sheetData>
    <row r="1" customFormat="false" ht="27.75" hidden="false" customHeight="true" outlineLevel="0" collapsed="false">
      <c r="A1" s="1" t="s">
        <v>2230</v>
      </c>
      <c r="B1" s="1"/>
      <c r="C1" s="1"/>
      <c r="D1" s="1"/>
      <c r="E1" s="1"/>
      <c r="F1" s="1"/>
      <c r="G1" s="1"/>
      <c r="H1" s="1"/>
      <c r="I1" s="1"/>
      <c r="J1" s="1"/>
    </row>
    <row r="2" customFormat="false" ht="18" hidden="false" customHeight="true" outlineLevel="0" collapsed="false">
      <c r="A2" s="2" t="s">
        <v>1</v>
      </c>
      <c r="B2" s="2"/>
      <c r="C2" s="2"/>
      <c r="D2" s="2"/>
      <c r="E2" s="2"/>
      <c r="F2" s="2"/>
      <c r="G2" s="2"/>
      <c r="H2" s="2"/>
      <c r="I2" s="2"/>
      <c r="J2" s="2"/>
    </row>
    <row r="4" customFormat="false" ht="15" hidden="false" customHeight="false" outlineLevel="0" collapsed="false">
      <c r="A4" s="10" t="s">
        <v>34</v>
      </c>
      <c r="B4" s="10" t="s">
        <v>35</v>
      </c>
      <c r="C4" s="10" t="s">
        <v>36</v>
      </c>
      <c r="D4" s="10" t="s">
        <v>37</v>
      </c>
      <c r="E4" s="10" t="s">
        <v>38</v>
      </c>
      <c r="F4" s="10" t="s">
        <v>39</v>
      </c>
      <c r="G4" s="10" t="s">
        <v>40</v>
      </c>
      <c r="H4" s="10" t="s">
        <v>41</v>
      </c>
      <c r="I4" s="10" t="s">
        <v>42</v>
      </c>
      <c r="J4" s="10" t="s">
        <v>43</v>
      </c>
    </row>
    <row r="5" customFormat="false" ht="36" hidden="false" customHeight="true" outlineLevel="0" collapsed="false">
      <c r="A5" s="8" t="s">
        <v>1145</v>
      </c>
      <c r="B5" s="8" t="s">
        <v>1146</v>
      </c>
      <c r="C5" s="8" t="s">
        <v>1147</v>
      </c>
      <c r="D5" s="8" t="s">
        <v>1147</v>
      </c>
      <c r="E5" s="8" t="s">
        <v>47</v>
      </c>
      <c r="F5" s="8" t="s">
        <v>1148</v>
      </c>
      <c r="G5" s="8" t="s">
        <v>1149</v>
      </c>
      <c r="H5" s="8" t="s">
        <v>623</v>
      </c>
      <c r="I5" s="8" t="s">
        <v>1150</v>
      </c>
      <c r="J5" s="8" t="s">
        <v>1151</v>
      </c>
    </row>
    <row r="6" customFormat="false" ht="36" hidden="false" customHeight="true" outlineLevel="0" collapsed="false">
      <c r="A6" s="9" t="s">
        <v>1152</v>
      </c>
      <c r="B6" s="9" t="s">
        <v>1151</v>
      </c>
      <c r="C6" s="9" t="s">
        <v>1151</v>
      </c>
      <c r="D6" s="9" t="s">
        <v>1147</v>
      </c>
      <c r="E6" s="9" t="s">
        <v>922</v>
      </c>
      <c r="F6" s="9" t="s">
        <v>1153</v>
      </c>
      <c r="G6" s="9" t="s">
        <v>1154</v>
      </c>
      <c r="H6" s="9" t="s">
        <v>623</v>
      </c>
      <c r="I6" s="9" t="s">
        <v>1155</v>
      </c>
      <c r="J6" s="9" t="s">
        <v>1156</v>
      </c>
    </row>
    <row r="7" customFormat="false" ht="36" hidden="false" customHeight="true" outlineLevel="0" collapsed="false">
      <c r="A7" s="8" t="s">
        <v>1157</v>
      </c>
      <c r="B7" s="8" t="s">
        <v>1156</v>
      </c>
      <c r="C7" s="8" t="s">
        <v>1156</v>
      </c>
      <c r="D7" s="8" t="s">
        <v>1147</v>
      </c>
      <c r="E7" s="8" t="s">
        <v>922</v>
      </c>
      <c r="F7" s="8" t="s">
        <v>1158</v>
      </c>
      <c r="G7" s="8" t="s">
        <v>1159</v>
      </c>
      <c r="H7" s="8" t="s">
        <v>623</v>
      </c>
      <c r="I7" s="8" t="s">
        <v>1160</v>
      </c>
      <c r="J7" s="8" t="s">
        <v>1161</v>
      </c>
    </row>
    <row r="8" customFormat="false" ht="36" hidden="false" customHeight="true" outlineLevel="0" collapsed="false">
      <c r="A8" s="9" t="s">
        <v>1162</v>
      </c>
      <c r="B8" s="9" t="s">
        <v>1161</v>
      </c>
      <c r="C8" s="9" t="s">
        <v>1161</v>
      </c>
      <c r="D8" s="9" t="s">
        <v>1147</v>
      </c>
      <c r="E8" s="9" t="s">
        <v>922</v>
      </c>
      <c r="F8" s="9" t="s">
        <v>1163</v>
      </c>
      <c r="G8" s="9" t="s">
        <v>1164</v>
      </c>
      <c r="H8" s="9" t="s">
        <v>623</v>
      </c>
      <c r="I8" s="9" t="s">
        <v>1165</v>
      </c>
      <c r="J8" s="9" t="s">
        <v>1156</v>
      </c>
    </row>
    <row r="9" customFormat="false" ht="36" hidden="false" customHeight="true" outlineLevel="0" collapsed="false">
      <c r="A9" s="8" t="s">
        <v>1166</v>
      </c>
      <c r="B9" s="8" t="s">
        <v>1167</v>
      </c>
      <c r="C9" s="8" t="s">
        <v>1167</v>
      </c>
      <c r="D9" s="8" t="s">
        <v>1147</v>
      </c>
      <c r="E9" s="8" t="s">
        <v>922</v>
      </c>
      <c r="F9" s="8" t="s">
        <v>1168</v>
      </c>
      <c r="G9" s="8" t="s">
        <v>1169</v>
      </c>
      <c r="H9" s="8" t="s">
        <v>623</v>
      </c>
      <c r="I9" s="8" t="s">
        <v>1170</v>
      </c>
      <c r="J9" s="8" t="s">
        <v>1171</v>
      </c>
    </row>
    <row r="10" customFormat="false" ht="36" hidden="false" customHeight="true" outlineLevel="0" collapsed="false">
      <c r="A10" s="9" t="s">
        <v>1172</v>
      </c>
      <c r="B10" s="9" t="s">
        <v>1173</v>
      </c>
      <c r="C10" s="9" t="s">
        <v>1173</v>
      </c>
      <c r="D10" s="9" t="s">
        <v>1147</v>
      </c>
      <c r="E10" s="9" t="s">
        <v>922</v>
      </c>
      <c r="F10" s="9" t="s">
        <v>1174</v>
      </c>
      <c r="G10" s="9" t="s">
        <v>1175</v>
      </c>
      <c r="H10" s="9" t="s">
        <v>623</v>
      </c>
      <c r="I10" s="9" t="s">
        <v>1176</v>
      </c>
      <c r="J10" s="9" t="s">
        <v>1177</v>
      </c>
    </row>
    <row r="11" customFormat="false" ht="36" hidden="false" customHeight="true" outlineLevel="0" collapsed="false">
      <c r="A11" s="8" t="s">
        <v>1178</v>
      </c>
      <c r="B11" s="8" t="s">
        <v>1177</v>
      </c>
      <c r="C11" s="8" t="s">
        <v>1177</v>
      </c>
      <c r="D11" s="8" t="s">
        <v>1147</v>
      </c>
      <c r="E11" s="8" t="s">
        <v>922</v>
      </c>
      <c r="F11" s="8" t="s">
        <v>1179</v>
      </c>
      <c r="G11" s="8" t="s">
        <v>1180</v>
      </c>
      <c r="H11" s="8" t="s">
        <v>623</v>
      </c>
      <c r="I11" s="8" t="s">
        <v>1181</v>
      </c>
      <c r="J11" s="8" t="s">
        <v>1173</v>
      </c>
    </row>
    <row r="12" customFormat="false" ht="36" hidden="false" customHeight="true" outlineLevel="0" collapsed="false">
      <c r="A12" s="9" t="s">
        <v>1182</v>
      </c>
      <c r="B12" s="9" t="s">
        <v>1183</v>
      </c>
      <c r="C12" s="9" t="s">
        <v>1183</v>
      </c>
      <c r="D12" s="9" t="s">
        <v>1147</v>
      </c>
      <c r="E12" s="9" t="s">
        <v>922</v>
      </c>
      <c r="F12" s="9" t="s">
        <v>1184</v>
      </c>
      <c r="G12" s="9" t="s">
        <v>1185</v>
      </c>
      <c r="H12" s="9" t="s">
        <v>623</v>
      </c>
      <c r="I12" s="9" t="s">
        <v>1186</v>
      </c>
      <c r="J12" s="9" t="s">
        <v>1177</v>
      </c>
    </row>
    <row r="13" customFormat="false" ht="36" hidden="false" customHeight="true" outlineLevel="0" collapsed="false">
      <c r="A13" s="8" t="s">
        <v>1187</v>
      </c>
      <c r="B13" s="8" t="s">
        <v>1188</v>
      </c>
      <c r="C13" s="8" t="s">
        <v>1189</v>
      </c>
      <c r="D13" s="8" t="s">
        <v>1147</v>
      </c>
      <c r="E13" s="8" t="s">
        <v>922</v>
      </c>
      <c r="F13" s="8" t="s">
        <v>1190</v>
      </c>
      <c r="G13" s="8" t="s">
        <v>1191</v>
      </c>
      <c r="H13" s="8" t="s">
        <v>623</v>
      </c>
      <c r="I13" s="8" t="s">
        <v>1192</v>
      </c>
      <c r="J13" s="8" t="s">
        <v>1193</v>
      </c>
    </row>
    <row r="14" customFormat="false" ht="36" hidden="false" customHeight="true" outlineLevel="0" collapsed="false">
      <c r="A14" s="9" t="s">
        <v>1194</v>
      </c>
      <c r="B14" s="9" t="s">
        <v>1195</v>
      </c>
      <c r="C14" s="9" t="s">
        <v>1196</v>
      </c>
      <c r="D14" s="9" t="s">
        <v>1147</v>
      </c>
      <c r="E14" s="9" t="s">
        <v>922</v>
      </c>
      <c r="F14" s="9" t="s">
        <v>1197</v>
      </c>
      <c r="G14" s="9" t="s">
        <v>1198</v>
      </c>
      <c r="H14" s="9" t="s">
        <v>623</v>
      </c>
      <c r="I14" s="9" t="s">
        <v>1199</v>
      </c>
      <c r="J14" s="9" t="s">
        <v>1200</v>
      </c>
    </row>
    <row r="15" customFormat="false" ht="36" hidden="false" customHeight="true" outlineLevel="0" collapsed="false">
      <c r="A15" s="8" t="s">
        <v>1201</v>
      </c>
      <c r="B15" s="8" t="s">
        <v>1202</v>
      </c>
      <c r="C15" s="8" t="s">
        <v>1202</v>
      </c>
      <c r="D15" s="8" t="s">
        <v>1147</v>
      </c>
      <c r="E15" s="8" t="s">
        <v>922</v>
      </c>
      <c r="F15" s="8" t="s">
        <v>1203</v>
      </c>
      <c r="G15" s="8" t="s">
        <v>1204</v>
      </c>
      <c r="H15" s="8" t="s">
        <v>1205</v>
      </c>
      <c r="I15" s="8" t="s">
        <v>1206</v>
      </c>
      <c r="J15" s="8" t="s">
        <v>1207</v>
      </c>
    </row>
    <row r="16" customFormat="false" ht="36" hidden="false" customHeight="true" outlineLevel="0" collapsed="false">
      <c r="A16" s="9" t="s">
        <v>1208</v>
      </c>
      <c r="B16" s="9" t="s">
        <v>1209</v>
      </c>
      <c r="C16" s="9" t="s">
        <v>1209</v>
      </c>
      <c r="D16" s="9" t="s">
        <v>1147</v>
      </c>
      <c r="E16" s="9" t="s">
        <v>922</v>
      </c>
      <c r="F16" s="9" t="s">
        <v>1210</v>
      </c>
      <c r="G16" s="9" t="s">
        <v>1211</v>
      </c>
      <c r="H16" s="9" t="s">
        <v>1212</v>
      </c>
      <c r="I16" s="9" t="s">
        <v>1213</v>
      </c>
      <c r="J16" s="9" t="s">
        <v>1202</v>
      </c>
    </row>
    <row r="17" customFormat="false" ht="36" hidden="false" customHeight="true" outlineLevel="0" collapsed="false">
      <c r="A17" s="8" t="s">
        <v>1214</v>
      </c>
      <c r="B17" s="8" t="s">
        <v>1215</v>
      </c>
      <c r="C17" s="8"/>
      <c r="D17" s="8" t="s">
        <v>1147</v>
      </c>
      <c r="E17" s="8" t="s">
        <v>1216</v>
      </c>
      <c r="F17" s="8" t="s">
        <v>1217</v>
      </c>
      <c r="G17" s="8" t="s">
        <v>1218</v>
      </c>
      <c r="H17" s="8" t="s">
        <v>1219</v>
      </c>
      <c r="I17" s="8" t="s">
        <v>1220</v>
      </c>
      <c r="J17" s="8" t="s">
        <v>1221</v>
      </c>
    </row>
    <row r="18" customFormat="false" ht="36" hidden="false" customHeight="true" outlineLevel="0" collapsed="false">
      <c r="A18" s="9" t="s">
        <v>1222</v>
      </c>
      <c r="B18" s="9" t="s">
        <v>1221</v>
      </c>
      <c r="C18" s="9"/>
      <c r="D18" s="9" t="s">
        <v>1147</v>
      </c>
      <c r="E18" s="9" t="s">
        <v>1216</v>
      </c>
      <c r="F18" s="9" t="s">
        <v>1223</v>
      </c>
      <c r="G18" s="9" t="s">
        <v>1224</v>
      </c>
      <c r="H18" s="9" t="s">
        <v>1219</v>
      </c>
      <c r="I18" s="9" t="s">
        <v>1225</v>
      </c>
      <c r="J18" s="9" t="s">
        <v>1226</v>
      </c>
    </row>
    <row r="19" customFormat="false" ht="36" hidden="false" customHeight="true" outlineLevel="0" collapsed="false">
      <c r="A19" s="8" t="s">
        <v>1227</v>
      </c>
      <c r="B19" s="8" t="s">
        <v>1228</v>
      </c>
      <c r="C19" s="8" t="s">
        <v>1229</v>
      </c>
      <c r="D19" s="8" t="s">
        <v>1147</v>
      </c>
      <c r="E19" s="8" t="s">
        <v>1216</v>
      </c>
      <c r="F19" s="8" t="s">
        <v>1230</v>
      </c>
      <c r="G19" s="8" t="s">
        <v>1231</v>
      </c>
      <c r="H19" s="8" t="s">
        <v>623</v>
      </c>
      <c r="I19" s="8" t="s">
        <v>1232</v>
      </c>
      <c r="J19" s="8" t="s">
        <v>1233</v>
      </c>
    </row>
    <row r="20" customFormat="false" ht="36" hidden="false" customHeight="true" outlineLevel="0" collapsed="false">
      <c r="A20" s="9" t="s">
        <v>1234</v>
      </c>
      <c r="B20" s="9" t="s">
        <v>1235</v>
      </c>
      <c r="C20" s="9" t="s">
        <v>1236</v>
      </c>
      <c r="D20" s="9" t="s">
        <v>1147</v>
      </c>
      <c r="E20" s="9" t="s">
        <v>1216</v>
      </c>
      <c r="F20" s="9" t="s">
        <v>1237</v>
      </c>
      <c r="G20" s="9" t="s">
        <v>1238</v>
      </c>
      <c r="H20" s="9" t="s">
        <v>623</v>
      </c>
      <c r="I20" s="9" t="s">
        <v>1239</v>
      </c>
      <c r="J20" s="9" t="s">
        <v>1240</v>
      </c>
    </row>
    <row r="21" customFormat="false" ht="36" hidden="false" customHeight="true" outlineLevel="0" collapsed="false">
      <c r="A21" s="8" t="s">
        <v>1241</v>
      </c>
      <c r="B21" s="8" t="s">
        <v>1242</v>
      </c>
      <c r="C21" s="8" t="s">
        <v>1240</v>
      </c>
      <c r="D21" s="8" t="s">
        <v>1147</v>
      </c>
      <c r="E21" s="8" t="s">
        <v>1216</v>
      </c>
      <c r="F21" s="8" t="s">
        <v>1243</v>
      </c>
      <c r="G21" s="8" t="s">
        <v>1244</v>
      </c>
      <c r="H21" s="8" t="s">
        <v>623</v>
      </c>
      <c r="I21" s="8" t="s">
        <v>1245</v>
      </c>
      <c r="J21" s="8" t="s">
        <v>1236</v>
      </c>
    </row>
    <row r="22" customFormat="false" ht="36" hidden="false" customHeight="true" outlineLevel="0" collapsed="false">
      <c r="A22" s="9" t="s">
        <v>1246</v>
      </c>
      <c r="B22" s="9" t="s">
        <v>1247</v>
      </c>
      <c r="C22" s="9" t="s">
        <v>1248</v>
      </c>
      <c r="D22" s="9" t="s">
        <v>1147</v>
      </c>
      <c r="E22" s="9" t="s">
        <v>1249</v>
      </c>
      <c r="F22" s="9" t="s">
        <v>1250</v>
      </c>
      <c r="G22" s="9" t="s">
        <v>1251</v>
      </c>
      <c r="H22" s="9" t="s">
        <v>1252</v>
      </c>
      <c r="I22" s="9" t="s">
        <v>1253</v>
      </c>
      <c r="J22" s="9" t="s">
        <v>476</v>
      </c>
    </row>
    <row r="23" customFormat="false" ht="36" hidden="false" customHeight="true" outlineLevel="0" collapsed="false">
      <c r="A23" s="8" t="s">
        <v>1254</v>
      </c>
      <c r="B23" s="8" t="s">
        <v>1255</v>
      </c>
      <c r="C23" s="8"/>
      <c r="D23" s="8" t="s">
        <v>1147</v>
      </c>
      <c r="E23" s="8" t="s">
        <v>1249</v>
      </c>
      <c r="F23" s="8" t="s">
        <v>1256</v>
      </c>
      <c r="G23" s="8" t="s">
        <v>1257</v>
      </c>
      <c r="H23" s="8" t="s">
        <v>623</v>
      </c>
      <c r="I23" s="8" t="s">
        <v>1258</v>
      </c>
      <c r="J23" s="8" t="s">
        <v>1248</v>
      </c>
    </row>
    <row r="24" customFormat="false" ht="36" hidden="false" customHeight="true" outlineLevel="0" collapsed="false">
      <c r="A24" s="9" t="s">
        <v>1259</v>
      </c>
      <c r="B24" s="9" t="s">
        <v>1260</v>
      </c>
      <c r="C24" s="9" t="s">
        <v>1261</v>
      </c>
      <c r="D24" s="9" t="s">
        <v>1147</v>
      </c>
      <c r="E24" s="9" t="s">
        <v>1249</v>
      </c>
      <c r="F24" s="9" t="s">
        <v>1262</v>
      </c>
      <c r="G24" s="9" t="s">
        <v>1263</v>
      </c>
      <c r="H24" s="9" t="s">
        <v>623</v>
      </c>
      <c r="I24" s="9" t="s">
        <v>1264</v>
      </c>
      <c r="J24" s="9" t="s">
        <v>1265</v>
      </c>
    </row>
    <row r="25" customFormat="false" ht="36" hidden="false" customHeight="true" outlineLevel="0" collapsed="false">
      <c r="A25" s="8" t="s">
        <v>1266</v>
      </c>
      <c r="B25" s="8" t="s">
        <v>1265</v>
      </c>
      <c r="C25" s="8"/>
      <c r="D25" s="8" t="s">
        <v>1147</v>
      </c>
      <c r="E25" s="8" t="s">
        <v>1267</v>
      </c>
      <c r="F25" s="8" t="s">
        <v>1268</v>
      </c>
      <c r="G25" s="8" t="s">
        <v>1269</v>
      </c>
      <c r="H25" s="8" t="s">
        <v>623</v>
      </c>
      <c r="I25" s="8" t="s">
        <v>1270</v>
      </c>
      <c r="J25" s="8" t="s">
        <v>1271</v>
      </c>
    </row>
    <row r="26" customFormat="false" ht="36" hidden="false" customHeight="true" outlineLevel="0" collapsed="false">
      <c r="A26" s="9" t="s">
        <v>1272</v>
      </c>
      <c r="B26" s="9" t="s">
        <v>1273</v>
      </c>
      <c r="C26" s="9" t="s">
        <v>1274</v>
      </c>
      <c r="D26" s="9" t="s">
        <v>1147</v>
      </c>
      <c r="E26" s="9" t="s">
        <v>1267</v>
      </c>
      <c r="F26" s="9" t="s">
        <v>1275</v>
      </c>
      <c r="G26" s="9" t="s">
        <v>1276</v>
      </c>
      <c r="H26" s="9" t="s">
        <v>623</v>
      </c>
      <c r="I26" s="9" t="s">
        <v>1277</v>
      </c>
      <c r="J26" s="9" t="s">
        <v>1278</v>
      </c>
    </row>
    <row r="27" customFormat="false" ht="36" hidden="false" customHeight="true" outlineLevel="0" collapsed="false">
      <c r="A27" s="8" t="s">
        <v>1279</v>
      </c>
      <c r="B27" s="8" t="s">
        <v>1280</v>
      </c>
      <c r="C27" s="8" t="s">
        <v>1278</v>
      </c>
      <c r="D27" s="8" t="s">
        <v>1147</v>
      </c>
      <c r="E27" s="8" t="s">
        <v>1267</v>
      </c>
      <c r="F27" s="8" t="s">
        <v>1281</v>
      </c>
      <c r="G27" s="8" t="s">
        <v>1282</v>
      </c>
      <c r="H27" s="8" t="s">
        <v>623</v>
      </c>
      <c r="I27" s="8" t="s">
        <v>1277</v>
      </c>
      <c r="J27" s="8" t="s">
        <v>1283</v>
      </c>
    </row>
    <row r="28" customFormat="false" ht="36" hidden="false" customHeight="true" outlineLevel="0" collapsed="false">
      <c r="A28" s="9" t="s">
        <v>1284</v>
      </c>
      <c r="B28" s="9" t="s">
        <v>1285</v>
      </c>
      <c r="C28" s="9" t="s">
        <v>1283</v>
      </c>
      <c r="D28" s="9" t="s">
        <v>1147</v>
      </c>
      <c r="E28" s="9" t="s">
        <v>1267</v>
      </c>
      <c r="F28" s="9" t="s">
        <v>1286</v>
      </c>
      <c r="G28" s="9" t="s">
        <v>1287</v>
      </c>
      <c r="H28" s="9" t="s">
        <v>623</v>
      </c>
      <c r="I28" s="9" t="s">
        <v>1288</v>
      </c>
      <c r="J28" s="9" t="s">
        <v>1289</v>
      </c>
    </row>
    <row r="29" customFormat="false" ht="36" hidden="false" customHeight="true" outlineLevel="0" collapsed="false">
      <c r="A29" s="8" t="s">
        <v>1290</v>
      </c>
      <c r="B29" s="8" t="s">
        <v>1291</v>
      </c>
      <c r="C29" s="8" t="s">
        <v>1289</v>
      </c>
      <c r="D29" s="8" t="s">
        <v>1147</v>
      </c>
      <c r="E29" s="8" t="s">
        <v>1267</v>
      </c>
      <c r="F29" s="8" t="s">
        <v>1292</v>
      </c>
      <c r="G29" s="8" t="s">
        <v>1293</v>
      </c>
      <c r="H29" s="8" t="s">
        <v>623</v>
      </c>
      <c r="I29" s="8" t="s">
        <v>1294</v>
      </c>
      <c r="J29" s="8" t="s">
        <v>1261</v>
      </c>
    </row>
    <row r="30" customFormat="false" ht="36" hidden="false" customHeight="true" outlineLevel="0" collapsed="false">
      <c r="A30" s="9" t="s">
        <v>1295</v>
      </c>
      <c r="B30" s="9" t="s">
        <v>1296</v>
      </c>
      <c r="C30" s="9"/>
      <c r="D30" s="9" t="s">
        <v>1147</v>
      </c>
      <c r="E30" s="9" t="s">
        <v>617</v>
      </c>
      <c r="F30" s="9" t="s">
        <v>1297</v>
      </c>
      <c r="G30" s="9" t="s">
        <v>1298</v>
      </c>
      <c r="H30" s="9" t="s">
        <v>623</v>
      </c>
      <c r="I30" s="9" t="s">
        <v>1299</v>
      </c>
      <c r="J30" s="9" t="s">
        <v>591</v>
      </c>
    </row>
    <row r="31" customFormat="false" ht="36" hidden="false" customHeight="true" outlineLevel="0" collapsed="false">
      <c r="A31" s="8" t="s">
        <v>1300</v>
      </c>
      <c r="B31" s="8" t="s">
        <v>1301</v>
      </c>
      <c r="C31" s="8" t="s">
        <v>1302</v>
      </c>
      <c r="D31" s="8" t="s">
        <v>1147</v>
      </c>
      <c r="E31" s="8" t="s">
        <v>922</v>
      </c>
      <c r="F31" s="8" t="s">
        <v>1303</v>
      </c>
      <c r="G31" s="8" t="s">
        <v>1304</v>
      </c>
      <c r="H31" s="8" t="s">
        <v>623</v>
      </c>
      <c r="I31" s="8" t="s">
        <v>1305</v>
      </c>
      <c r="J31" s="8" t="s">
        <v>1167</v>
      </c>
    </row>
    <row r="32" customFormat="false" ht="36" hidden="false" customHeight="true" outlineLevel="0" collapsed="false">
      <c r="A32" s="9" t="s">
        <v>1306</v>
      </c>
      <c r="B32" s="9" t="s">
        <v>1307</v>
      </c>
      <c r="C32" s="9" t="s">
        <v>1307</v>
      </c>
      <c r="D32" s="9" t="s">
        <v>1147</v>
      </c>
      <c r="E32" s="9" t="s">
        <v>922</v>
      </c>
      <c r="F32" s="9" t="s">
        <v>1308</v>
      </c>
      <c r="G32" s="9" t="s">
        <v>1309</v>
      </c>
      <c r="H32" s="9" t="s">
        <v>623</v>
      </c>
      <c r="I32" s="9" t="s">
        <v>1310</v>
      </c>
      <c r="J32" s="9" t="s">
        <v>1302</v>
      </c>
    </row>
    <row r="33" customFormat="false" ht="36" hidden="false" customHeight="true" outlineLevel="0" collapsed="false">
      <c r="A33" s="8" t="s">
        <v>1311</v>
      </c>
      <c r="B33" s="8" t="s">
        <v>1312</v>
      </c>
      <c r="C33" s="8" t="s">
        <v>1312</v>
      </c>
      <c r="D33" s="8" t="s">
        <v>1147</v>
      </c>
      <c r="E33" s="8" t="s">
        <v>922</v>
      </c>
      <c r="F33" s="8" t="s">
        <v>1313</v>
      </c>
      <c r="G33" s="8" t="s">
        <v>1314</v>
      </c>
      <c r="H33" s="8" t="s">
        <v>623</v>
      </c>
      <c r="I33" s="8" t="s">
        <v>1315</v>
      </c>
      <c r="J33" s="8" t="s">
        <v>1316</v>
      </c>
    </row>
    <row r="34" customFormat="false" ht="36" hidden="false" customHeight="true" outlineLevel="0" collapsed="false">
      <c r="A34" s="9" t="s">
        <v>1317</v>
      </c>
      <c r="B34" s="9" t="s">
        <v>1316</v>
      </c>
      <c r="C34" s="9" t="s">
        <v>1316</v>
      </c>
      <c r="D34" s="9" t="s">
        <v>1147</v>
      </c>
      <c r="E34" s="9" t="s">
        <v>922</v>
      </c>
      <c r="F34" s="9" t="s">
        <v>1318</v>
      </c>
      <c r="G34" s="9" t="s">
        <v>1319</v>
      </c>
      <c r="H34" s="9" t="s">
        <v>623</v>
      </c>
      <c r="I34" s="9" t="s">
        <v>1320</v>
      </c>
      <c r="J34" s="9" t="s">
        <v>1321</v>
      </c>
    </row>
    <row r="35" customFormat="false" ht="36" hidden="false" customHeight="true" outlineLevel="0" collapsed="false">
      <c r="A35" s="8" t="s">
        <v>1322</v>
      </c>
      <c r="B35" s="8" t="s">
        <v>1323</v>
      </c>
      <c r="C35" s="8" t="s">
        <v>1321</v>
      </c>
      <c r="D35" s="8" t="s">
        <v>1147</v>
      </c>
      <c r="E35" s="8" t="s">
        <v>922</v>
      </c>
      <c r="F35" s="8" t="s">
        <v>1324</v>
      </c>
      <c r="G35" s="8" t="s">
        <v>1325</v>
      </c>
      <c r="H35" s="8" t="s">
        <v>623</v>
      </c>
      <c r="I35" s="8" t="s">
        <v>1326</v>
      </c>
      <c r="J35" s="8" t="s">
        <v>1167</v>
      </c>
    </row>
    <row r="36" customFormat="false" ht="36" hidden="false" customHeight="true" outlineLevel="0" collapsed="false">
      <c r="A36" s="9" t="s">
        <v>1327</v>
      </c>
      <c r="B36" s="9" t="s">
        <v>1328</v>
      </c>
      <c r="C36" s="9" t="s">
        <v>1329</v>
      </c>
      <c r="D36" s="9" t="s">
        <v>1147</v>
      </c>
      <c r="E36" s="9" t="s">
        <v>922</v>
      </c>
      <c r="F36" s="9" t="s">
        <v>1330</v>
      </c>
      <c r="G36" s="9" t="s">
        <v>1331</v>
      </c>
      <c r="H36" s="9" t="s">
        <v>623</v>
      </c>
      <c r="I36" s="9" t="s">
        <v>1332</v>
      </c>
      <c r="J36" s="9" t="s">
        <v>1167</v>
      </c>
    </row>
    <row r="37" customFormat="false" ht="36" hidden="false" customHeight="true" outlineLevel="0" collapsed="false">
      <c r="A37" s="8" t="s">
        <v>1333</v>
      </c>
      <c r="B37" s="8" t="s">
        <v>1334</v>
      </c>
      <c r="C37" s="8" t="s">
        <v>1335</v>
      </c>
      <c r="D37" s="8" t="s">
        <v>1147</v>
      </c>
      <c r="E37" s="8" t="s">
        <v>1336</v>
      </c>
      <c r="F37" s="8" t="s">
        <v>1337</v>
      </c>
      <c r="G37" s="8" t="s">
        <v>1338</v>
      </c>
      <c r="H37" s="8" t="s">
        <v>623</v>
      </c>
      <c r="I37" s="8" t="s">
        <v>1339</v>
      </c>
      <c r="J37" s="8" t="s">
        <v>1340</v>
      </c>
    </row>
    <row r="38" customFormat="false" ht="36" hidden="false" customHeight="true" outlineLevel="0" collapsed="false">
      <c r="A38" s="9" t="s">
        <v>1341</v>
      </c>
      <c r="B38" s="9" t="s">
        <v>1342</v>
      </c>
      <c r="C38" s="9" t="s">
        <v>1343</v>
      </c>
      <c r="D38" s="9" t="s">
        <v>1147</v>
      </c>
      <c r="E38" s="9" t="s">
        <v>1336</v>
      </c>
      <c r="F38" s="9" t="s">
        <v>1344</v>
      </c>
      <c r="G38" s="9" t="s">
        <v>1345</v>
      </c>
      <c r="H38" s="9" t="s">
        <v>623</v>
      </c>
      <c r="I38" s="9" t="s">
        <v>1346</v>
      </c>
      <c r="J38" s="9" t="s">
        <v>1173</v>
      </c>
    </row>
    <row r="39" customFormat="false" ht="36" hidden="false" customHeight="true" outlineLevel="0" collapsed="false">
      <c r="A39" s="8" t="s">
        <v>1347</v>
      </c>
      <c r="B39" s="8" t="s">
        <v>1348</v>
      </c>
      <c r="C39" s="8" t="s">
        <v>1349</v>
      </c>
      <c r="D39" s="8" t="s">
        <v>1147</v>
      </c>
      <c r="E39" s="8" t="s">
        <v>1336</v>
      </c>
      <c r="F39" s="8" t="s">
        <v>1350</v>
      </c>
      <c r="G39" s="8" t="s">
        <v>1351</v>
      </c>
      <c r="H39" s="8" t="s">
        <v>623</v>
      </c>
      <c r="I39" s="8" t="s">
        <v>1352</v>
      </c>
      <c r="J39" s="8" t="s">
        <v>1353</v>
      </c>
    </row>
    <row r="40" customFormat="false" ht="36" hidden="false" customHeight="true" outlineLevel="0" collapsed="false">
      <c r="A40" s="9" t="s">
        <v>1354</v>
      </c>
      <c r="B40" s="9" t="s">
        <v>1355</v>
      </c>
      <c r="C40" s="9" t="s">
        <v>1193</v>
      </c>
      <c r="D40" s="9" t="s">
        <v>1147</v>
      </c>
      <c r="E40" s="9" t="s">
        <v>1336</v>
      </c>
      <c r="F40" s="9" t="s">
        <v>1356</v>
      </c>
      <c r="G40" s="9" t="s">
        <v>1357</v>
      </c>
      <c r="H40" s="9" t="s">
        <v>623</v>
      </c>
      <c r="I40" s="9" t="s">
        <v>1358</v>
      </c>
      <c r="J40" s="9" t="s">
        <v>1189</v>
      </c>
    </row>
    <row r="41" customFormat="false" ht="36" hidden="false" customHeight="true" outlineLevel="0" collapsed="false">
      <c r="A41" s="8" t="s">
        <v>1359</v>
      </c>
      <c r="B41" s="8" t="s">
        <v>1360</v>
      </c>
      <c r="C41" s="8" t="s">
        <v>1200</v>
      </c>
      <c r="D41" s="8" t="s">
        <v>1147</v>
      </c>
      <c r="E41" s="8" t="s">
        <v>1336</v>
      </c>
      <c r="F41" s="8" t="s">
        <v>1361</v>
      </c>
      <c r="G41" s="8" t="s">
        <v>1362</v>
      </c>
      <c r="H41" s="8" t="s">
        <v>623</v>
      </c>
      <c r="I41" s="8" t="s">
        <v>1363</v>
      </c>
      <c r="J41" s="8" t="s">
        <v>1196</v>
      </c>
    </row>
    <row r="42" customFormat="false" ht="36" hidden="false" customHeight="true" outlineLevel="0" collapsed="false">
      <c r="A42" s="9" t="s">
        <v>1364</v>
      </c>
      <c r="B42" s="9" t="s">
        <v>1365</v>
      </c>
      <c r="C42" s="9"/>
      <c r="D42" s="9" t="s">
        <v>1147</v>
      </c>
      <c r="E42" s="9" t="s">
        <v>1366</v>
      </c>
      <c r="F42" s="9" t="s">
        <v>1367</v>
      </c>
      <c r="G42" s="9" t="s">
        <v>1368</v>
      </c>
      <c r="H42" s="9" t="s">
        <v>1369</v>
      </c>
      <c r="I42" s="9" t="s">
        <v>1370</v>
      </c>
      <c r="J42" s="9" t="s">
        <v>1371</v>
      </c>
    </row>
    <row r="43" customFormat="false" ht="36" hidden="false" customHeight="true" outlineLevel="0" collapsed="false">
      <c r="A43" s="8" t="s">
        <v>1372</v>
      </c>
      <c r="B43" s="8" t="s">
        <v>1373</v>
      </c>
      <c r="C43" s="8" t="s">
        <v>1374</v>
      </c>
      <c r="D43" s="8" t="s">
        <v>1147</v>
      </c>
      <c r="E43" s="8" t="s">
        <v>1366</v>
      </c>
      <c r="F43" s="8" t="s">
        <v>1375</v>
      </c>
      <c r="G43" s="8" t="s">
        <v>1376</v>
      </c>
      <c r="H43" s="8" t="s">
        <v>1377</v>
      </c>
      <c r="I43" s="8" t="s">
        <v>1378</v>
      </c>
      <c r="J43" s="8" t="s">
        <v>963</v>
      </c>
    </row>
    <row r="44" customFormat="false" ht="36" hidden="false" customHeight="true" outlineLevel="0" collapsed="false">
      <c r="A44" s="9" t="s">
        <v>1379</v>
      </c>
      <c r="B44" s="9" t="s">
        <v>1380</v>
      </c>
      <c r="C44" s="9" t="s">
        <v>963</v>
      </c>
      <c r="D44" s="9" t="s">
        <v>1147</v>
      </c>
      <c r="E44" s="9" t="s">
        <v>1366</v>
      </c>
      <c r="F44" s="9" t="s">
        <v>1381</v>
      </c>
      <c r="G44" s="9" t="s">
        <v>1382</v>
      </c>
      <c r="H44" s="9" t="s">
        <v>1383</v>
      </c>
      <c r="I44" s="9" t="s">
        <v>1384</v>
      </c>
      <c r="J44" s="9" t="s">
        <v>1374</v>
      </c>
    </row>
    <row r="45" customFormat="false" ht="36" hidden="false" customHeight="true" outlineLevel="0" collapsed="false">
      <c r="A45" s="8" t="s">
        <v>1385</v>
      </c>
      <c r="B45" s="8" t="s">
        <v>1386</v>
      </c>
      <c r="C45" s="8" t="s">
        <v>1386</v>
      </c>
      <c r="D45" s="8" t="s">
        <v>1147</v>
      </c>
      <c r="E45" s="8" t="s">
        <v>1387</v>
      </c>
      <c r="F45" s="8" t="s">
        <v>1388</v>
      </c>
      <c r="G45" s="8" t="s">
        <v>1389</v>
      </c>
      <c r="H45" s="8" t="s">
        <v>66</v>
      </c>
      <c r="I45" s="8" t="s">
        <v>1390</v>
      </c>
      <c r="J45" s="8" t="s">
        <v>1391</v>
      </c>
    </row>
    <row r="46" customFormat="false" ht="36" hidden="false" customHeight="true" outlineLevel="0" collapsed="false">
      <c r="A46" s="9" t="s">
        <v>1392</v>
      </c>
      <c r="B46" s="9" t="s">
        <v>1391</v>
      </c>
      <c r="C46" s="9" t="s">
        <v>1391</v>
      </c>
      <c r="D46" s="9" t="s">
        <v>1147</v>
      </c>
      <c r="E46" s="9" t="s">
        <v>1387</v>
      </c>
      <c r="F46" s="9" t="s">
        <v>1393</v>
      </c>
      <c r="G46" s="9" t="s">
        <v>1394</v>
      </c>
      <c r="H46" s="9" t="s">
        <v>66</v>
      </c>
      <c r="I46" s="9" t="s">
        <v>1395</v>
      </c>
      <c r="J46" s="9" t="s">
        <v>1386</v>
      </c>
    </row>
    <row r="47" customFormat="false" ht="36" hidden="false" customHeight="true" outlineLevel="0" collapsed="false">
      <c r="A47" s="8" t="s">
        <v>1396</v>
      </c>
      <c r="B47" s="8" t="s">
        <v>1397</v>
      </c>
      <c r="C47" s="8" t="s">
        <v>1397</v>
      </c>
      <c r="D47" s="8" t="s">
        <v>1147</v>
      </c>
      <c r="E47" s="8" t="s">
        <v>1387</v>
      </c>
      <c r="F47" s="8" t="s">
        <v>1398</v>
      </c>
      <c r="G47" s="8" t="s">
        <v>1399</v>
      </c>
      <c r="H47" s="8" t="s">
        <v>1400</v>
      </c>
      <c r="I47" s="8" t="s">
        <v>1401</v>
      </c>
      <c r="J47" s="8" t="s">
        <v>1402</v>
      </c>
    </row>
  </sheetData>
  <autoFilter ref="A4:J47"/>
  <mergeCells count="2">
    <mergeCell ref="A1:J1"/>
    <mergeCell ref="A2:J2"/>
  </mergeCell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&amp;RPage &amp;P / &amp;N</oddFooter>
  </headerFooter>
  <drawing r:id="rId1"/>
  <tableParts>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6" min="6" style="0" width="62"/>
    <col collapsed="false" customWidth="true" hidden="false" outlineLevel="0" max="7" min="7" style="0" width="36"/>
    <col collapsed="false" customWidth="true" hidden="false" outlineLevel="0" max="8" min="8" style="0" width="28"/>
    <col collapsed="false" customWidth="true" hidden="false" outlineLevel="0" max="9" min="9" style="0" width="36"/>
    <col collapsed="false" customWidth="true" hidden="false" outlineLevel="0" max="10" min="10" style="0" width="22"/>
  </cols>
  <sheetData>
    <row r="1" customFormat="false" ht="27.75" hidden="false" customHeight="true" outlineLevel="0" collapsed="false">
      <c r="A1" s="1" t="s">
        <v>2231</v>
      </c>
      <c r="B1" s="1"/>
      <c r="C1" s="1"/>
      <c r="D1" s="1"/>
      <c r="E1" s="1"/>
      <c r="F1" s="1"/>
      <c r="G1" s="1"/>
      <c r="H1" s="1"/>
      <c r="I1" s="1"/>
      <c r="J1" s="1"/>
    </row>
    <row r="2" customFormat="false" ht="18" hidden="false" customHeight="true" outlineLevel="0" collapsed="false">
      <c r="A2" s="2" t="s">
        <v>1</v>
      </c>
      <c r="B2" s="2"/>
      <c r="C2" s="2"/>
      <c r="D2" s="2"/>
      <c r="E2" s="2"/>
      <c r="F2" s="2"/>
      <c r="G2" s="2"/>
      <c r="H2" s="2"/>
      <c r="I2" s="2"/>
      <c r="J2" s="2"/>
    </row>
    <row r="4" customFormat="false" ht="15" hidden="false" customHeight="false" outlineLevel="0" collapsed="false">
      <c r="A4" s="10" t="s">
        <v>34</v>
      </c>
      <c r="B4" s="10" t="s">
        <v>35</v>
      </c>
      <c r="C4" s="10" t="s">
        <v>36</v>
      </c>
      <c r="D4" s="10" t="s">
        <v>37</v>
      </c>
      <c r="E4" s="10" t="s">
        <v>38</v>
      </c>
      <c r="F4" s="10" t="s">
        <v>39</v>
      </c>
      <c r="G4" s="10" t="s">
        <v>40</v>
      </c>
      <c r="H4" s="10" t="s">
        <v>41</v>
      </c>
      <c r="I4" s="10" t="s">
        <v>42</v>
      </c>
      <c r="J4" s="10" t="s">
        <v>43</v>
      </c>
    </row>
    <row r="5" customFormat="false" ht="36" hidden="false" customHeight="true" outlineLevel="0" collapsed="false">
      <c r="A5" s="8" t="s">
        <v>1403</v>
      </c>
      <c r="B5" s="8" t="s">
        <v>1404</v>
      </c>
      <c r="C5" s="8" t="s">
        <v>1404</v>
      </c>
      <c r="D5" s="8" t="s">
        <v>1404</v>
      </c>
      <c r="E5" s="8" t="s">
        <v>1405</v>
      </c>
      <c r="F5" s="8" t="s">
        <v>1406</v>
      </c>
      <c r="G5" s="8" t="s">
        <v>1407</v>
      </c>
      <c r="H5" s="8" t="s">
        <v>400</v>
      </c>
      <c r="I5" s="8" t="s">
        <v>1408</v>
      </c>
      <c r="J5" s="8" t="s">
        <v>1409</v>
      </c>
    </row>
    <row r="6" customFormat="false" ht="36" hidden="false" customHeight="true" outlineLevel="0" collapsed="false">
      <c r="A6" s="9" t="s">
        <v>1410</v>
      </c>
      <c r="B6" s="9" t="s">
        <v>1411</v>
      </c>
      <c r="C6" s="9" t="s">
        <v>1409</v>
      </c>
      <c r="D6" s="9" t="s">
        <v>1404</v>
      </c>
      <c r="E6" s="9" t="s">
        <v>154</v>
      </c>
      <c r="F6" s="9" t="s">
        <v>1412</v>
      </c>
      <c r="G6" s="9" t="s">
        <v>1413</v>
      </c>
      <c r="H6" s="9" t="s">
        <v>400</v>
      </c>
      <c r="I6" s="9" t="s">
        <v>1414</v>
      </c>
      <c r="J6" s="9" t="s">
        <v>1415</v>
      </c>
    </row>
    <row r="7" customFormat="false" ht="36" hidden="false" customHeight="true" outlineLevel="0" collapsed="false">
      <c r="A7" s="8" t="s">
        <v>1416</v>
      </c>
      <c r="B7" s="8" t="s">
        <v>1417</v>
      </c>
      <c r="C7" s="8" t="s">
        <v>1415</v>
      </c>
      <c r="D7" s="8" t="s">
        <v>1404</v>
      </c>
      <c r="E7" s="8" t="s">
        <v>1418</v>
      </c>
      <c r="F7" s="8" t="s">
        <v>1419</v>
      </c>
      <c r="G7" s="8" t="s">
        <v>1420</v>
      </c>
      <c r="H7" s="8" t="s">
        <v>400</v>
      </c>
      <c r="I7" s="8" t="s">
        <v>1421</v>
      </c>
      <c r="J7" s="8" t="s">
        <v>1422</v>
      </c>
    </row>
    <row r="8" customFormat="false" ht="36" hidden="false" customHeight="true" outlineLevel="0" collapsed="false">
      <c r="A8" s="9" t="s">
        <v>1423</v>
      </c>
      <c r="B8" s="9" t="s">
        <v>1424</v>
      </c>
      <c r="C8" s="9" t="s">
        <v>1425</v>
      </c>
      <c r="D8" s="9" t="s">
        <v>1404</v>
      </c>
      <c r="E8" s="9" t="s">
        <v>1426</v>
      </c>
      <c r="F8" s="9" t="s">
        <v>1427</v>
      </c>
      <c r="G8" s="9" t="s">
        <v>1428</v>
      </c>
      <c r="H8" s="9" t="s">
        <v>400</v>
      </c>
      <c r="I8" s="9" t="s">
        <v>1429</v>
      </c>
      <c r="J8" s="9" t="s">
        <v>1430</v>
      </c>
    </row>
    <row r="9" customFormat="false" ht="36" hidden="false" customHeight="true" outlineLevel="0" collapsed="false">
      <c r="A9" s="8" t="s">
        <v>1431</v>
      </c>
      <c r="B9" s="8" t="s">
        <v>1432</v>
      </c>
      <c r="C9" s="8" t="s">
        <v>1433</v>
      </c>
      <c r="D9" s="8" t="s">
        <v>1404</v>
      </c>
      <c r="E9" s="8" t="s">
        <v>1434</v>
      </c>
      <c r="F9" s="8" t="s">
        <v>1435</v>
      </c>
      <c r="G9" s="8" t="s">
        <v>1436</v>
      </c>
      <c r="H9" s="8" t="s">
        <v>400</v>
      </c>
      <c r="I9" s="8" t="s">
        <v>1437</v>
      </c>
      <c r="J9" s="8" t="s">
        <v>1415</v>
      </c>
    </row>
    <row r="10" customFormat="false" ht="36" hidden="false" customHeight="true" outlineLevel="0" collapsed="false">
      <c r="A10" s="9" t="s">
        <v>1438</v>
      </c>
      <c r="B10" s="9" t="s">
        <v>1439</v>
      </c>
      <c r="C10" s="9" t="s">
        <v>408</v>
      </c>
      <c r="D10" s="9" t="s">
        <v>1404</v>
      </c>
      <c r="E10" s="9" t="s">
        <v>1440</v>
      </c>
      <c r="F10" s="9" t="s">
        <v>1441</v>
      </c>
      <c r="G10" s="9" t="s">
        <v>1442</v>
      </c>
      <c r="H10" s="9" t="s">
        <v>400</v>
      </c>
      <c r="I10" s="9" t="s">
        <v>1443</v>
      </c>
      <c r="J10" s="9" t="s">
        <v>1444</v>
      </c>
    </row>
    <row r="11" customFormat="false" ht="36" hidden="false" customHeight="true" outlineLevel="0" collapsed="false">
      <c r="A11" s="8" t="s">
        <v>1445</v>
      </c>
      <c r="B11" s="8" t="s">
        <v>1446</v>
      </c>
      <c r="C11" s="8" t="s">
        <v>1444</v>
      </c>
      <c r="D11" s="8" t="s">
        <v>1404</v>
      </c>
      <c r="E11" s="8" t="s">
        <v>1440</v>
      </c>
      <c r="F11" s="8" t="s">
        <v>1447</v>
      </c>
      <c r="G11" s="8" t="s">
        <v>1448</v>
      </c>
      <c r="H11" s="8" t="s">
        <v>400</v>
      </c>
      <c r="I11" s="8" t="s">
        <v>1449</v>
      </c>
      <c r="J11" s="8" t="s">
        <v>1450</v>
      </c>
    </row>
    <row r="12" customFormat="false" ht="36" hidden="false" customHeight="true" outlineLevel="0" collapsed="false">
      <c r="A12" s="9" t="s">
        <v>1451</v>
      </c>
      <c r="B12" s="9" t="s">
        <v>1452</v>
      </c>
      <c r="C12" s="9" t="s">
        <v>1450</v>
      </c>
      <c r="D12" s="9" t="s">
        <v>1404</v>
      </c>
      <c r="E12" s="9" t="s">
        <v>1440</v>
      </c>
      <c r="F12" s="9" t="s">
        <v>1453</v>
      </c>
      <c r="G12" s="9" t="s">
        <v>1454</v>
      </c>
      <c r="H12" s="9" t="s">
        <v>400</v>
      </c>
      <c r="I12" s="9" t="s">
        <v>1455</v>
      </c>
      <c r="J12" s="9" t="s">
        <v>1456</v>
      </c>
    </row>
    <row r="13" customFormat="false" ht="36" hidden="false" customHeight="true" outlineLevel="0" collapsed="false">
      <c r="A13" s="8" t="s">
        <v>1457</v>
      </c>
      <c r="B13" s="8" t="s">
        <v>1458</v>
      </c>
      <c r="C13" s="8" t="s">
        <v>1456</v>
      </c>
      <c r="D13" s="8" t="s">
        <v>1404</v>
      </c>
      <c r="E13" s="8" t="s">
        <v>1440</v>
      </c>
      <c r="F13" s="8" t="s">
        <v>1459</v>
      </c>
      <c r="G13" s="8" t="s">
        <v>1460</v>
      </c>
      <c r="H13" s="8" t="s">
        <v>400</v>
      </c>
      <c r="I13" s="8" t="s">
        <v>1461</v>
      </c>
      <c r="J13" s="8" t="s">
        <v>1462</v>
      </c>
    </row>
    <row r="14" customFormat="false" ht="36" hidden="false" customHeight="true" outlineLevel="0" collapsed="false">
      <c r="A14" s="9" t="s">
        <v>1463</v>
      </c>
      <c r="B14" s="9" t="s">
        <v>1464</v>
      </c>
      <c r="C14" s="9" t="s">
        <v>1465</v>
      </c>
      <c r="D14" s="9" t="s">
        <v>1404</v>
      </c>
      <c r="E14" s="9" t="s">
        <v>1440</v>
      </c>
      <c r="F14" s="9" t="s">
        <v>1466</v>
      </c>
      <c r="G14" s="9" t="s">
        <v>1467</v>
      </c>
      <c r="H14" s="9" t="s">
        <v>400</v>
      </c>
      <c r="I14" s="9" t="s">
        <v>1468</v>
      </c>
      <c r="J14" s="9" t="s">
        <v>455</v>
      </c>
    </row>
    <row r="15" customFormat="false" ht="36" hidden="false" customHeight="true" outlineLevel="0" collapsed="false">
      <c r="A15" s="8" t="s">
        <v>1469</v>
      </c>
      <c r="B15" s="8" t="s">
        <v>1470</v>
      </c>
      <c r="C15" s="8" t="s">
        <v>1471</v>
      </c>
      <c r="D15" s="8" t="s">
        <v>1404</v>
      </c>
      <c r="E15" s="8" t="s">
        <v>333</v>
      </c>
      <c r="F15" s="8" t="s">
        <v>1472</v>
      </c>
      <c r="G15" s="8" t="s">
        <v>1473</v>
      </c>
      <c r="H15" s="8" t="s">
        <v>1474</v>
      </c>
      <c r="I15" s="8" t="s">
        <v>1475</v>
      </c>
      <c r="J15" s="8" t="s">
        <v>1476</v>
      </c>
    </row>
    <row r="16" customFormat="false" ht="36" hidden="false" customHeight="true" outlineLevel="0" collapsed="false">
      <c r="A16" s="9" t="s">
        <v>1477</v>
      </c>
      <c r="B16" s="9" t="s">
        <v>1478</v>
      </c>
      <c r="C16" s="9" t="s">
        <v>1479</v>
      </c>
      <c r="D16" s="9" t="s">
        <v>1404</v>
      </c>
      <c r="E16" s="9" t="s">
        <v>333</v>
      </c>
      <c r="F16" s="9" t="s">
        <v>1480</v>
      </c>
      <c r="G16" s="9" t="s">
        <v>1481</v>
      </c>
      <c r="H16" s="9" t="s">
        <v>1474</v>
      </c>
      <c r="I16" s="9" t="s">
        <v>1482</v>
      </c>
      <c r="J16" s="9" t="s">
        <v>1483</v>
      </c>
    </row>
    <row r="17" customFormat="false" ht="36" hidden="false" customHeight="true" outlineLevel="0" collapsed="false">
      <c r="A17" s="8" t="s">
        <v>1484</v>
      </c>
      <c r="B17" s="8" t="s">
        <v>1485</v>
      </c>
      <c r="C17" s="8" t="s">
        <v>1486</v>
      </c>
      <c r="D17" s="8" t="s">
        <v>1404</v>
      </c>
      <c r="E17" s="8" t="s">
        <v>333</v>
      </c>
      <c r="F17" s="8" t="s">
        <v>1487</v>
      </c>
      <c r="G17" s="8" t="s">
        <v>1488</v>
      </c>
      <c r="H17" s="8" t="s">
        <v>400</v>
      </c>
      <c r="I17" s="8" t="s">
        <v>1489</v>
      </c>
      <c r="J17" s="8" t="s">
        <v>1490</v>
      </c>
    </row>
    <row r="18" customFormat="false" ht="36" hidden="false" customHeight="true" outlineLevel="0" collapsed="false">
      <c r="A18" s="9" t="s">
        <v>1491</v>
      </c>
      <c r="B18" s="9" t="s">
        <v>1492</v>
      </c>
      <c r="C18" s="9" t="s">
        <v>1483</v>
      </c>
      <c r="D18" s="9" t="s">
        <v>1404</v>
      </c>
      <c r="E18" s="9" t="s">
        <v>1493</v>
      </c>
      <c r="F18" s="9" t="s">
        <v>1494</v>
      </c>
      <c r="G18" s="9" t="s">
        <v>1495</v>
      </c>
      <c r="H18" s="9" t="s">
        <v>400</v>
      </c>
      <c r="I18" s="9" t="s">
        <v>1496</v>
      </c>
      <c r="J18" s="9" t="s">
        <v>1497</v>
      </c>
    </row>
    <row r="19" customFormat="false" ht="36" hidden="false" customHeight="true" outlineLevel="0" collapsed="false">
      <c r="A19" s="8" t="s">
        <v>1498</v>
      </c>
      <c r="B19" s="8" t="s">
        <v>1499</v>
      </c>
      <c r="C19" s="8" t="s">
        <v>1500</v>
      </c>
      <c r="D19" s="8" t="s">
        <v>1404</v>
      </c>
      <c r="E19" s="8" t="s">
        <v>1418</v>
      </c>
      <c r="F19" s="8" t="s">
        <v>1501</v>
      </c>
      <c r="G19" s="8" t="s">
        <v>1502</v>
      </c>
      <c r="H19" s="8" t="s">
        <v>1503</v>
      </c>
      <c r="I19" s="8" t="s">
        <v>1504</v>
      </c>
      <c r="J19" s="8" t="s">
        <v>1505</v>
      </c>
    </row>
    <row r="20" customFormat="false" ht="36" hidden="false" customHeight="true" outlineLevel="0" collapsed="false">
      <c r="A20" s="9" t="s">
        <v>1506</v>
      </c>
      <c r="B20" s="9" t="s">
        <v>1507</v>
      </c>
      <c r="C20" s="9" t="s">
        <v>1508</v>
      </c>
      <c r="D20" s="9" t="s">
        <v>1404</v>
      </c>
      <c r="E20" s="9" t="s">
        <v>1418</v>
      </c>
      <c r="F20" s="9" t="s">
        <v>1509</v>
      </c>
      <c r="G20" s="9" t="s">
        <v>1510</v>
      </c>
      <c r="H20" s="9" t="s">
        <v>1511</v>
      </c>
      <c r="I20" s="9" t="s">
        <v>1512</v>
      </c>
      <c r="J20" s="9" t="s">
        <v>1513</v>
      </c>
    </row>
    <row r="21" customFormat="false" ht="36" hidden="false" customHeight="true" outlineLevel="0" collapsed="false">
      <c r="A21" s="8" t="s">
        <v>1514</v>
      </c>
      <c r="B21" s="8" t="s">
        <v>1515</v>
      </c>
      <c r="C21" s="8" t="s">
        <v>1516</v>
      </c>
      <c r="D21" s="8" t="s">
        <v>1404</v>
      </c>
      <c r="E21" s="8" t="s">
        <v>1418</v>
      </c>
      <c r="F21" s="8" t="s">
        <v>1517</v>
      </c>
      <c r="G21" s="8" t="s">
        <v>1518</v>
      </c>
      <c r="H21" s="8" t="s">
        <v>1503</v>
      </c>
      <c r="I21" s="8" t="s">
        <v>1519</v>
      </c>
      <c r="J21" s="8" t="s">
        <v>1520</v>
      </c>
    </row>
    <row r="22" customFormat="false" ht="36" hidden="false" customHeight="true" outlineLevel="0" collapsed="false">
      <c r="A22" s="9" t="s">
        <v>1521</v>
      </c>
      <c r="B22" s="9" t="s">
        <v>1522</v>
      </c>
      <c r="C22" s="9" t="s">
        <v>1523</v>
      </c>
      <c r="D22" s="9" t="s">
        <v>1404</v>
      </c>
      <c r="E22" s="9" t="s">
        <v>333</v>
      </c>
      <c r="F22" s="9" t="s">
        <v>1524</v>
      </c>
      <c r="G22" s="9" t="s">
        <v>1525</v>
      </c>
      <c r="H22" s="9" t="s">
        <v>1526</v>
      </c>
      <c r="I22" s="9" t="s">
        <v>1527</v>
      </c>
      <c r="J22" s="9" t="s">
        <v>1248</v>
      </c>
    </row>
    <row r="23" customFormat="false" ht="36" hidden="false" customHeight="true" outlineLevel="0" collapsed="false">
      <c r="A23" s="8" t="s">
        <v>1528</v>
      </c>
      <c r="B23" s="8" t="s">
        <v>1529</v>
      </c>
      <c r="C23" s="8" t="s">
        <v>1530</v>
      </c>
      <c r="D23" s="8" t="s">
        <v>1404</v>
      </c>
      <c r="E23" s="8" t="s">
        <v>333</v>
      </c>
      <c r="F23" s="8" t="s">
        <v>1531</v>
      </c>
      <c r="G23" s="8" t="s">
        <v>1532</v>
      </c>
      <c r="H23" s="8" t="s">
        <v>1511</v>
      </c>
      <c r="I23" s="8" t="s">
        <v>1533</v>
      </c>
      <c r="J23" s="8" t="s">
        <v>476</v>
      </c>
    </row>
    <row r="24" customFormat="false" ht="36" hidden="false" customHeight="true" outlineLevel="0" collapsed="false">
      <c r="A24" s="9" t="s">
        <v>1534</v>
      </c>
      <c r="B24" s="9" t="s">
        <v>1535</v>
      </c>
      <c r="C24" s="9" t="s">
        <v>1536</v>
      </c>
      <c r="D24" s="9" t="s">
        <v>1404</v>
      </c>
      <c r="E24" s="9" t="s">
        <v>333</v>
      </c>
      <c r="F24" s="9" t="s">
        <v>1537</v>
      </c>
      <c r="G24" s="9" t="s">
        <v>1538</v>
      </c>
      <c r="H24" s="9" t="s">
        <v>1511</v>
      </c>
      <c r="I24" s="9" t="s">
        <v>1539</v>
      </c>
      <c r="J24" s="9" t="s">
        <v>476</v>
      </c>
    </row>
    <row r="25" customFormat="false" ht="36" hidden="false" customHeight="true" outlineLevel="0" collapsed="false">
      <c r="A25" s="8" t="s">
        <v>1540</v>
      </c>
      <c r="B25" s="8" t="s">
        <v>1541</v>
      </c>
      <c r="C25" s="8" t="s">
        <v>1462</v>
      </c>
      <c r="D25" s="8" t="s">
        <v>1404</v>
      </c>
      <c r="E25" s="8" t="s">
        <v>1505</v>
      </c>
      <c r="F25" s="8" t="s">
        <v>1542</v>
      </c>
      <c r="G25" s="8" t="s">
        <v>1543</v>
      </c>
      <c r="H25" s="8" t="s">
        <v>238</v>
      </c>
      <c r="I25" s="8" t="s">
        <v>1544</v>
      </c>
      <c r="J25" s="8" t="s">
        <v>1545</v>
      </c>
    </row>
    <row r="26" customFormat="false" ht="36" hidden="false" customHeight="true" outlineLevel="0" collapsed="false">
      <c r="A26" s="9" t="s">
        <v>1546</v>
      </c>
      <c r="B26" s="9" t="s">
        <v>1547</v>
      </c>
      <c r="C26" s="9" t="s">
        <v>1548</v>
      </c>
      <c r="D26" s="9" t="s">
        <v>1404</v>
      </c>
      <c r="E26" s="9" t="s">
        <v>1505</v>
      </c>
      <c r="F26" s="9" t="s">
        <v>1549</v>
      </c>
      <c r="G26" s="9" t="s">
        <v>1550</v>
      </c>
      <c r="H26" s="9" t="s">
        <v>238</v>
      </c>
      <c r="I26" s="9" t="s">
        <v>1551</v>
      </c>
      <c r="J26" s="9" t="s">
        <v>1462</v>
      </c>
    </row>
    <row r="27" customFormat="false" ht="36" hidden="false" customHeight="true" outlineLevel="0" collapsed="false">
      <c r="A27" s="8" t="s">
        <v>1552</v>
      </c>
      <c r="B27" s="8" t="s">
        <v>1553</v>
      </c>
      <c r="C27" s="8" t="s">
        <v>1545</v>
      </c>
      <c r="D27" s="8" t="s">
        <v>1404</v>
      </c>
      <c r="E27" s="8" t="s">
        <v>1505</v>
      </c>
      <c r="F27" s="8" t="s">
        <v>1554</v>
      </c>
      <c r="G27" s="8" t="s">
        <v>1555</v>
      </c>
      <c r="H27" s="8" t="s">
        <v>400</v>
      </c>
      <c r="I27" s="8" t="s">
        <v>1556</v>
      </c>
      <c r="J27" s="8" t="s">
        <v>1462</v>
      </c>
    </row>
    <row r="28" customFormat="false" ht="36" hidden="false" customHeight="true" outlineLevel="0" collapsed="false">
      <c r="A28" s="9" t="s">
        <v>1557</v>
      </c>
      <c r="B28" s="9" t="s">
        <v>1558</v>
      </c>
      <c r="C28" s="9" t="s">
        <v>1559</v>
      </c>
      <c r="D28" s="9" t="s">
        <v>1404</v>
      </c>
      <c r="E28" s="9" t="s">
        <v>1560</v>
      </c>
      <c r="F28" s="9" t="s">
        <v>1561</v>
      </c>
      <c r="G28" s="9" t="s">
        <v>1562</v>
      </c>
      <c r="H28" s="9" t="s">
        <v>400</v>
      </c>
      <c r="I28" s="9" t="s">
        <v>1563</v>
      </c>
      <c r="J28" s="9" t="s">
        <v>1564</v>
      </c>
    </row>
    <row r="29" customFormat="false" ht="36" hidden="false" customHeight="true" outlineLevel="0" collapsed="false">
      <c r="A29" s="8" t="s">
        <v>1565</v>
      </c>
      <c r="B29" s="8" t="s">
        <v>1566</v>
      </c>
      <c r="C29" s="8"/>
      <c r="D29" s="8" t="s">
        <v>1404</v>
      </c>
      <c r="E29" s="8" t="s">
        <v>1560</v>
      </c>
      <c r="F29" s="8" t="s">
        <v>1567</v>
      </c>
      <c r="G29" s="8" t="s">
        <v>1568</v>
      </c>
      <c r="H29" s="8" t="s">
        <v>400</v>
      </c>
      <c r="I29" s="8" t="s">
        <v>1569</v>
      </c>
      <c r="J29" s="8" t="s">
        <v>1559</v>
      </c>
    </row>
    <row r="30" customFormat="false" ht="36" hidden="false" customHeight="true" outlineLevel="0" collapsed="false">
      <c r="A30" s="9" t="s">
        <v>1570</v>
      </c>
      <c r="B30" s="9" t="s">
        <v>1571</v>
      </c>
      <c r="C30" s="9"/>
      <c r="D30" s="9" t="s">
        <v>1404</v>
      </c>
      <c r="E30" s="9" t="s">
        <v>1560</v>
      </c>
      <c r="F30" s="9" t="s">
        <v>1572</v>
      </c>
      <c r="G30" s="9" t="s">
        <v>1573</v>
      </c>
      <c r="H30" s="9" t="s">
        <v>400</v>
      </c>
      <c r="I30" s="9" t="s">
        <v>1574</v>
      </c>
      <c r="J30" s="9" t="s">
        <v>397</v>
      </c>
    </row>
    <row r="31" customFormat="false" ht="36" hidden="false" customHeight="true" outlineLevel="0" collapsed="false">
      <c r="A31" s="8" t="s">
        <v>1575</v>
      </c>
      <c r="B31" s="8" t="s">
        <v>1576</v>
      </c>
      <c r="C31" s="8"/>
      <c r="D31" s="8" t="s">
        <v>1404</v>
      </c>
      <c r="E31" s="8" t="s">
        <v>397</v>
      </c>
      <c r="F31" s="8" t="s">
        <v>1577</v>
      </c>
      <c r="G31" s="8" t="s">
        <v>1578</v>
      </c>
      <c r="H31" s="8" t="s">
        <v>1579</v>
      </c>
      <c r="I31" s="8" t="s">
        <v>1580</v>
      </c>
      <c r="J31" s="8" t="s">
        <v>1581</v>
      </c>
    </row>
    <row r="32" customFormat="false" ht="36" hidden="false" customHeight="true" outlineLevel="0" collapsed="false">
      <c r="A32" s="9" t="s">
        <v>1582</v>
      </c>
      <c r="B32" s="9" t="s">
        <v>1583</v>
      </c>
      <c r="C32" s="9"/>
      <c r="D32" s="9" t="s">
        <v>1404</v>
      </c>
      <c r="E32" s="9" t="s">
        <v>1584</v>
      </c>
      <c r="F32" s="9" t="s">
        <v>1585</v>
      </c>
      <c r="G32" s="9" t="s">
        <v>1586</v>
      </c>
      <c r="H32" s="9" t="s">
        <v>400</v>
      </c>
      <c r="I32" s="9" t="s">
        <v>1587</v>
      </c>
      <c r="J32" s="9" t="s">
        <v>1588</v>
      </c>
    </row>
    <row r="33" customFormat="false" ht="36" hidden="false" customHeight="true" outlineLevel="0" collapsed="false">
      <c r="A33" s="8" t="s">
        <v>1589</v>
      </c>
      <c r="B33" s="8" t="s">
        <v>1590</v>
      </c>
      <c r="C33" s="8"/>
      <c r="D33" s="8" t="s">
        <v>1404</v>
      </c>
      <c r="E33" s="8" t="s">
        <v>1584</v>
      </c>
      <c r="F33" s="8" t="s">
        <v>1591</v>
      </c>
      <c r="G33" s="8" t="s">
        <v>1592</v>
      </c>
      <c r="H33" s="8" t="s">
        <v>400</v>
      </c>
      <c r="I33" s="8" t="s">
        <v>1593</v>
      </c>
      <c r="J33" s="8" t="s">
        <v>1594</v>
      </c>
    </row>
    <row r="34" customFormat="false" ht="36" hidden="false" customHeight="true" outlineLevel="0" collapsed="false">
      <c r="A34" s="9" t="s">
        <v>1595</v>
      </c>
      <c r="B34" s="9" t="s">
        <v>1596</v>
      </c>
      <c r="C34" s="9" t="s">
        <v>1594</v>
      </c>
      <c r="D34" s="9" t="s">
        <v>1404</v>
      </c>
      <c r="E34" s="9" t="s">
        <v>1584</v>
      </c>
      <c r="F34" s="9" t="s">
        <v>1597</v>
      </c>
      <c r="G34" s="9" t="s">
        <v>1598</v>
      </c>
      <c r="H34" s="9" t="s">
        <v>400</v>
      </c>
      <c r="I34" s="9" t="s">
        <v>1599</v>
      </c>
      <c r="J34" s="9" t="s">
        <v>1486</v>
      </c>
    </row>
    <row r="35" customFormat="false" ht="36" hidden="false" customHeight="true" outlineLevel="0" collapsed="false">
      <c r="A35" s="8" t="s">
        <v>1600</v>
      </c>
      <c r="B35" s="8" t="s">
        <v>1601</v>
      </c>
      <c r="C35" s="8" t="s">
        <v>1430</v>
      </c>
      <c r="D35" s="8" t="s">
        <v>1404</v>
      </c>
      <c r="E35" s="8" t="s">
        <v>1426</v>
      </c>
      <c r="F35" s="8" t="s">
        <v>1602</v>
      </c>
      <c r="G35" s="8" t="s">
        <v>1603</v>
      </c>
      <c r="H35" s="8" t="s">
        <v>400</v>
      </c>
      <c r="I35" s="8" t="s">
        <v>1604</v>
      </c>
      <c r="J35" s="8" t="s">
        <v>1425</v>
      </c>
    </row>
    <row r="36" customFormat="false" ht="36" hidden="false" customHeight="true" outlineLevel="0" collapsed="false">
      <c r="A36" s="9" t="s">
        <v>1605</v>
      </c>
      <c r="B36" s="9" t="s">
        <v>1606</v>
      </c>
      <c r="C36" s="9"/>
      <c r="D36" s="9" t="s">
        <v>1404</v>
      </c>
      <c r="E36" s="9" t="s">
        <v>1426</v>
      </c>
      <c r="F36" s="9" t="s">
        <v>1607</v>
      </c>
      <c r="G36" s="9" t="s">
        <v>1608</v>
      </c>
      <c r="H36" s="9" t="s">
        <v>400</v>
      </c>
      <c r="I36" s="9" t="s">
        <v>1609</v>
      </c>
      <c r="J36" s="9" t="s">
        <v>1425</v>
      </c>
    </row>
    <row r="37" customFormat="false" ht="36" hidden="false" customHeight="true" outlineLevel="0" collapsed="false">
      <c r="A37" s="8" t="s">
        <v>1610</v>
      </c>
      <c r="B37" s="8" t="s">
        <v>1611</v>
      </c>
      <c r="C37" s="8"/>
      <c r="D37" s="8" t="s">
        <v>1404</v>
      </c>
      <c r="E37" s="8" t="s">
        <v>1426</v>
      </c>
      <c r="F37" s="8" t="s">
        <v>1612</v>
      </c>
      <c r="G37" s="8" t="s">
        <v>1613</v>
      </c>
      <c r="H37" s="8" t="s">
        <v>400</v>
      </c>
      <c r="I37" s="8" t="s">
        <v>1614</v>
      </c>
      <c r="J37" s="8" t="s">
        <v>1430</v>
      </c>
    </row>
    <row r="38" customFormat="false" ht="36" hidden="false" customHeight="true" outlineLevel="0" collapsed="false">
      <c r="A38" s="9" t="s">
        <v>1615</v>
      </c>
      <c r="B38" s="9" t="s">
        <v>1616</v>
      </c>
      <c r="C38" s="9"/>
      <c r="D38" s="9" t="s">
        <v>1404</v>
      </c>
      <c r="E38" s="9" t="s">
        <v>1426</v>
      </c>
      <c r="F38" s="9" t="s">
        <v>1617</v>
      </c>
      <c r="G38" s="9" t="s">
        <v>1618</v>
      </c>
      <c r="H38" s="9" t="s">
        <v>400</v>
      </c>
      <c r="I38" s="9" t="s">
        <v>1619</v>
      </c>
      <c r="J38" s="9" t="s">
        <v>631</v>
      </c>
    </row>
    <row r="39" customFormat="false" ht="36" hidden="false" customHeight="true" outlineLevel="0" collapsed="false">
      <c r="A39" s="8" t="s">
        <v>1620</v>
      </c>
      <c r="B39" s="8" t="s">
        <v>1621</v>
      </c>
      <c r="C39" s="8" t="s">
        <v>1622</v>
      </c>
      <c r="D39" s="8" t="s">
        <v>1404</v>
      </c>
      <c r="E39" s="8" t="s">
        <v>1584</v>
      </c>
      <c r="F39" s="8" t="s">
        <v>1623</v>
      </c>
      <c r="G39" s="8" t="s">
        <v>1624</v>
      </c>
      <c r="H39" s="8" t="s">
        <v>1625</v>
      </c>
      <c r="I39" s="8" t="s">
        <v>1626</v>
      </c>
      <c r="J39" s="8" t="s">
        <v>1627</v>
      </c>
    </row>
    <row r="40" customFormat="false" ht="36" hidden="false" customHeight="true" outlineLevel="0" collapsed="false">
      <c r="A40" s="9" t="s">
        <v>1628</v>
      </c>
      <c r="B40" s="9" t="s">
        <v>1629</v>
      </c>
      <c r="C40" s="9" t="s">
        <v>1627</v>
      </c>
      <c r="D40" s="9" t="s">
        <v>1404</v>
      </c>
      <c r="E40" s="9" t="s">
        <v>1584</v>
      </c>
      <c r="F40" s="9" t="s">
        <v>1630</v>
      </c>
      <c r="G40" s="9" t="s">
        <v>1631</v>
      </c>
      <c r="H40" s="9" t="s">
        <v>1632</v>
      </c>
      <c r="I40" s="9" t="s">
        <v>1633</v>
      </c>
      <c r="J40" s="9" t="s">
        <v>1634</v>
      </c>
    </row>
    <row r="41" customFormat="false" ht="36" hidden="false" customHeight="true" outlineLevel="0" collapsed="false">
      <c r="A41" s="8" t="s">
        <v>1635</v>
      </c>
      <c r="B41" s="8" t="s">
        <v>1636</v>
      </c>
      <c r="C41" s="8" t="s">
        <v>1634</v>
      </c>
      <c r="D41" s="8" t="s">
        <v>1404</v>
      </c>
      <c r="E41" s="8" t="s">
        <v>485</v>
      </c>
      <c r="F41" s="8" t="s">
        <v>1637</v>
      </c>
      <c r="G41" s="8" t="s">
        <v>1638</v>
      </c>
      <c r="H41" s="8" t="s">
        <v>400</v>
      </c>
      <c r="I41" s="8" t="s">
        <v>1639</v>
      </c>
      <c r="J41" s="8" t="s">
        <v>1627</v>
      </c>
    </row>
    <row r="42" customFormat="false" ht="36" hidden="false" customHeight="true" outlineLevel="0" collapsed="false">
      <c r="A42" s="9" t="s">
        <v>1640</v>
      </c>
      <c r="B42" s="9" t="s">
        <v>1641</v>
      </c>
      <c r="C42" s="9"/>
      <c r="D42" s="9" t="s">
        <v>1404</v>
      </c>
      <c r="E42" s="9" t="s">
        <v>1418</v>
      </c>
      <c r="F42" s="9" t="s">
        <v>1642</v>
      </c>
      <c r="G42" s="9" t="s">
        <v>1643</v>
      </c>
      <c r="H42" s="9" t="s">
        <v>400</v>
      </c>
      <c r="I42" s="9" t="s">
        <v>1644</v>
      </c>
      <c r="J42" s="9" t="s">
        <v>1645</v>
      </c>
    </row>
    <row r="43" customFormat="false" ht="36" hidden="false" customHeight="true" outlineLevel="0" collapsed="false">
      <c r="A43" s="8" t="s">
        <v>1646</v>
      </c>
      <c r="B43" s="8" t="s">
        <v>1647</v>
      </c>
      <c r="C43" s="8"/>
      <c r="D43" s="8" t="s">
        <v>1404</v>
      </c>
      <c r="E43" s="8" t="s">
        <v>1418</v>
      </c>
      <c r="F43" s="8" t="s">
        <v>1648</v>
      </c>
      <c r="G43" s="8" t="s">
        <v>1649</v>
      </c>
      <c r="H43" s="8" t="s">
        <v>400</v>
      </c>
      <c r="I43" s="8" t="s">
        <v>1650</v>
      </c>
      <c r="J43" s="8" t="s">
        <v>1415</v>
      </c>
    </row>
    <row r="44" customFormat="false" ht="36" hidden="false" customHeight="true" outlineLevel="0" collapsed="false">
      <c r="A44" s="9" t="s">
        <v>1651</v>
      </c>
      <c r="B44" s="9" t="s">
        <v>1652</v>
      </c>
      <c r="C44" s="9" t="s">
        <v>1653</v>
      </c>
      <c r="D44" s="9" t="s">
        <v>1404</v>
      </c>
      <c r="E44" s="9" t="s">
        <v>730</v>
      </c>
      <c r="F44" s="9" t="s">
        <v>1654</v>
      </c>
      <c r="G44" s="9" t="s">
        <v>1655</v>
      </c>
      <c r="H44" s="9" t="s">
        <v>1656</v>
      </c>
      <c r="I44" s="9" t="s">
        <v>1657</v>
      </c>
      <c r="J44" s="9" t="s">
        <v>873</v>
      </c>
    </row>
    <row r="45" customFormat="false" ht="36" hidden="false" customHeight="true" outlineLevel="0" collapsed="false">
      <c r="A45" s="8" t="s">
        <v>1658</v>
      </c>
      <c r="B45" s="8" t="s">
        <v>1659</v>
      </c>
      <c r="C45" s="8" t="s">
        <v>1520</v>
      </c>
      <c r="D45" s="8" t="s">
        <v>1404</v>
      </c>
      <c r="E45" s="8" t="s">
        <v>730</v>
      </c>
      <c r="F45" s="8" t="s">
        <v>1660</v>
      </c>
      <c r="G45" s="8" t="s">
        <v>1661</v>
      </c>
      <c r="H45" s="8" t="s">
        <v>400</v>
      </c>
      <c r="I45" s="8" t="s">
        <v>1662</v>
      </c>
      <c r="J45" s="8" t="s">
        <v>1663</v>
      </c>
    </row>
    <row r="46" customFormat="false" ht="36" hidden="false" customHeight="true" outlineLevel="0" collapsed="false">
      <c r="A46" s="9" t="s">
        <v>1664</v>
      </c>
      <c r="B46" s="9" t="s">
        <v>1665</v>
      </c>
      <c r="C46" s="9" t="s">
        <v>1666</v>
      </c>
      <c r="D46" s="9" t="s">
        <v>1404</v>
      </c>
      <c r="E46" s="9" t="s">
        <v>730</v>
      </c>
      <c r="F46" s="9" t="s">
        <v>1667</v>
      </c>
      <c r="G46" s="9" t="s">
        <v>1668</v>
      </c>
      <c r="H46" s="9" t="s">
        <v>1656</v>
      </c>
      <c r="I46" s="9" t="s">
        <v>1669</v>
      </c>
      <c r="J46" s="9" t="s">
        <v>1670</v>
      </c>
    </row>
    <row r="47" customFormat="false" ht="36" hidden="false" customHeight="true" outlineLevel="0" collapsed="false">
      <c r="A47" s="8" t="s">
        <v>1671</v>
      </c>
      <c r="B47" s="8" t="s">
        <v>1663</v>
      </c>
      <c r="C47" s="8" t="s">
        <v>1663</v>
      </c>
      <c r="D47" s="8" t="s">
        <v>1404</v>
      </c>
      <c r="E47" s="8" t="s">
        <v>730</v>
      </c>
      <c r="F47" s="8" t="s">
        <v>1672</v>
      </c>
      <c r="G47" s="8" t="s">
        <v>1673</v>
      </c>
      <c r="H47" s="8" t="s">
        <v>400</v>
      </c>
      <c r="I47" s="8" t="s">
        <v>1674</v>
      </c>
      <c r="J47" s="8" t="s">
        <v>1675</v>
      </c>
    </row>
    <row r="48" customFormat="false" ht="36" hidden="false" customHeight="true" outlineLevel="0" collapsed="false">
      <c r="A48" s="9" t="s">
        <v>1676</v>
      </c>
      <c r="B48" s="9" t="s">
        <v>1677</v>
      </c>
      <c r="C48" s="9" t="s">
        <v>1678</v>
      </c>
      <c r="D48" s="9" t="s">
        <v>1404</v>
      </c>
      <c r="E48" s="9" t="s">
        <v>730</v>
      </c>
      <c r="F48" s="9" t="s">
        <v>1679</v>
      </c>
      <c r="G48" s="9" t="s">
        <v>1680</v>
      </c>
      <c r="H48" s="9" t="s">
        <v>1681</v>
      </c>
      <c r="I48" s="9" t="s">
        <v>1682</v>
      </c>
      <c r="J48" s="9" t="s">
        <v>1683</v>
      </c>
    </row>
    <row r="49" customFormat="false" ht="36" hidden="false" customHeight="true" outlineLevel="0" collapsed="false">
      <c r="A49" s="8" t="s">
        <v>1684</v>
      </c>
      <c r="B49" s="8" t="s">
        <v>1685</v>
      </c>
      <c r="C49" s="8"/>
      <c r="D49" s="8" t="s">
        <v>1404</v>
      </c>
      <c r="E49" s="8" t="s">
        <v>730</v>
      </c>
      <c r="F49" s="8" t="s">
        <v>1686</v>
      </c>
      <c r="G49" s="8" t="s">
        <v>1687</v>
      </c>
      <c r="H49" s="8" t="s">
        <v>1688</v>
      </c>
      <c r="I49" s="8" t="s">
        <v>1689</v>
      </c>
      <c r="J49" s="8" t="s">
        <v>1690</v>
      </c>
    </row>
    <row r="50" customFormat="false" ht="36" hidden="false" customHeight="true" outlineLevel="0" collapsed="false">
      <c r="A50" s="9" t="s">
        <v>1691</v>
      </c>
      <c r="B50" s="9" t="s">
        <v>1692</v>
      </c>
      <c r="C50" s="9"/>
      <c r="D50" s="9" t="s">
        <v>1404</v>
      </c>
      <c r="E50" s="9" t="s">
        <v>730</v>
      </c>
      <c r="F50" s="9" t="s">
        <v>1693</v>
      </c>
      <c r="G50" s="9" t="s">
        <v>1694</v>
      </c>
      <c r="H50" s="9" t="s">
        <v>400</v>
      </c>
      <c r="I50" s="9" t="s">
        <v>1695</v>
      </c>
      <c r="J50" s="9" t="s">
        <v>1696</v>
      </c>
    </row>
    <row r="51" customFormat="false" ht="36" hidden="false" customHeight="true" outlineLevel="0" collapsed="false">
      <c r="A51" s="8" t="s">
        <v>1697</v>
      </c>
      <c r="B51" s="8" t="s">
        <v>1698</v>
      </c>
      <c r="C51" s="8"/>
      <c r="D51" s="8" t="s">
        <v>1404</v>
      </c>
      <c r="E51" s="8" t="s">
        <v>730</v>
      </c>
      <c r="F51" s="8" t="s">
        <v>1699</v>
      </c>
      <c r="G51" s="8" t="s">
        <v>1700</v>
      </c>
      <c r="H51" s="8" t="s">
        <v>400</v>
      </c>
      <c r="I51" s="8" t="s">
        <v>1701</v>
      </c>
      <c r="J51" s="8" t="s">
        <v>1702</v>
      </c>
    </row>
    <row r="52" customFormat="false" ht="36" hidden="false" customHeight="true" outlineLevel="0" collapsed="false">
      <c r="A52" s="9" t="s">
        <v>1703</v>
      </c>
      <c r="B52" s="9" t="s">
        <v>1704</v>
      </c>
      <c r="C52" s="9" t="s">
        <v>1705</v>
      </c>
      <c r="D52" s="9" t="s">
        <v>1404</v>
      </c>
      <c r="E52" s="9" t="s">
        <v>730</v>
      </c>
      <c r="F52" s="9" t="s">
        <v>1706</v>
      </c>
      <c r="G52" s="9" t="s">
        <v>1707</v>
      </c>
      <c r="H52" s="9" t="s">
        <v>1708</v>
      </c>
      <c r="I52" s="9" t="s">
        <v>1709</v>
      </c>
      <c r="J52" s="9" t="s">
        <v>1666</v>
      </c>
    </row>
    <row r="53" customFormat="false" ht="36" hidden="false" customHeight="true" outlineLevel="0" collapsed="false">
      <c r="A53" s="8" t="s">
        <v>1710</v>
      </c>
      <c r="B53" s="8" t="s">
        <v>1711</v>
      </c>
      <c r="C53" s="8" t="s">
        <v>1712</v>
      </c>
      <c r="D53" s="8" t="s">
        <v>1404</v>
      </c>
      <c r="E53" s="8" t="s">
        <v>1336</v>
      </c>
      <c r="F53" s="8" t="s">
        <v>1713</v>
      </c>
      <c r="G53" s="8" t="s">
        <v>1714</v>
      </c>
      <c r="H53" s="8" t="s">
        <v>1715</v>
      </c>
      <c r="I53" s="8" t="s">
        <v>1716</v>
      </c>
      <c r="J53" s="8" t="s">
        <v>1717</v>
      </c>
    </row>
    <row r="54" customFormat="false" ht="36" hidden="false" customHeight="true" outlineLevel="0" collapsed="false">
      <c r="A54" s="9" t="s">
        <v>1718</v>
      </c>
      <c r="B54" s="9" t="s">
        <v>1719</v>
      </c>
      <c r="C54" s="9" t="s">
        <v>1717</v>
      </c>
      <c r="D54" s="9" t="s">
        <v>1404</v>
      </c>
      <c r="E54" s="9" t="s">
        <v>971</v>
      </c>
      <c r="F54" s="9" t="s">
        <v>1720</v>
      </c>
      <c r="G54" s="9" t="s">
        <v>1721</v>
      </c>
      <c r="H54" s="9" t="s">
        <v>1715</v>
      </c>
      <c r="I54" s="9" t="s">
        <v>1722</v>
      </c>
      <c r="J54" s="9" t="s">
        <v>1723</v>
      </c>
    </row>
    <row r="55" customFormat="false" ht="36" hidden="false" customHeight="true" outlineLevel="0" collapsed="false">
      <c r="A55" s="8" t="s">
        <v>1724</v>
      </c>
      <c r="B55" s="8" t="s">
        <v>1715</v>
      </c>
      <c r="C55" s="8" t="s">
        <v>1715</v>
      </c>
      <c r="D55" s="8" t="s">
        <v>1404</v>
      </c>
      <c r="E55" s="8" t="s">
        <v>1405</v>
      </c>
      <c r="F55" s="8" t="s">
        <v>1725</v>
      </c>
      <c r="G55" s="8" t="s">
        <v>1726</v>
      </c>
      <c r="H55" s="8" t="s">
        <v>1715</v>
      </c>
      <c r="I55" s="8" t="s">
        <v>1727</v>
      </c>
      <c r="J55" s="8" t="s">
        <v>1712</v>
      </c>
    </row>
    <row r="56" customFormat="false" ht="36" hidden="false" customHeight="true" outlineLevel="0" collapsed="false">
      <c r="A56" s="9" t="s">
        <v>1728</v>
      </c>
      <c r="B56" s="9" t="s">
        <v>1729</v>
      </c>
      <c r="C56" s="9"/>
      <c r="D56" s="9" t="s">
        <v>1404</v>
      </c>
      <c r="E56" s="9" t="s">
        <v>1723</v>
      </c>
      <c r="F56" s="9" t="s">
        <v>1730</v>
      </c>
      <c r="G56" s="9" t="s">
        <v>1731</v>
      </c>
      <c r="H56" s="9" t="s">
        <v>1715</v>
      </c>
      <c r="I56" s="9" t="s">
        <v>1732</v>
      </c>
      <c r="J56" s="9" t="s">
        <v>1733</v>
      </c>
    </row>
    <row r="57" customFormat="false" ht="36" hidden="false" customHeight="true" outlineLevel="0" collapsed="false">
      <c r="A57" s="8" t="s">
        <v>1734</v>
      </c>
      <c r="B57" s="8" t="s">
        <v>1735</v>
      </c>
      <c r="C57" s="8"/>
      <c r="D57" s="8" t="s">
        <v>1404</v>
      </c>
      <c r="E57" s="8" t="s">
        <v>1723</v>
      </c>
      <c r="F57" s="8" t="s">
        <v>1736</v>
      </c>
      <c r="G57" s="8" t="s">
        <v>1737</v>
      </c>
      <c r="H57" s="8" t="s">
        <v>1738</v>
      </c>
      <c r="I57" s="8" t="s">
        <v>1739</v>
      </c>
      <c r="J57" s="8" t="s">
        <v>1409</v>
      </c>
    </row>
    <row r="58" customFormat="false" ht="36" hidden="false" customHeight="true" outlineLevel="0" collapsed="false">
      <c r="A58" s="9" t="s">
        <v>1740</v>
      </c>
      <c r="B58" s="9" t="s">
        <v>1741</v>
      </c>
      <c r="C58" s="9"/>
      <c r="D58" s="9" t="s">
        <v>1404</v>
      </c>
      <c r="E58" s="9" t="s">
        <v>580</v>
      </c>
      <c r="F58" s="9" t="s">
        <v>1742</v>
      </c>
      <c r="G58" s="9" t="s">
        <v>1743</v>
      </c>
      <c r="H58" s="9" t="s">
        <v>400</v>
      </c>
      <c r="I58" s="9" t="s">
        <v>1744</v>
      </c>
      <c r="J58" s="9" t="s">
        <v>1594</v>
      </c>
    </row>
  </sheetData>
  <autoFilter ref="A4:J58"/>
  <mergeCells count="2">
    <mergeCell ref="A1:J1"/>
    <mergeCell ref="A2:J2"/>
  </mergeCell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&amp;RPage &amp;P / &amp;N</oddFooter>
  </headerFooter>
  <drawing r:id="rId1"/>
  <tableParts>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6" min="6" style="0" width="62"/>
    <col collapsed="false" customWidth="true" hidden="false" outlineLevel="0" max="7" min="7" style="0" width="36"/>
    <col collapsed="false" customWidth="true" hidden="false" outlineLevel="0" max="8" min="8" style="0" width="28"/>
    <col collapsed="false" customWidth="true" hidden="false" outlineLevel="0" max="9" min="9" style="0" width="36"/>
    <col collapsed="false" customWidth="true" hidden="false" outlineLevel="0" max="10" min="10" style="0" width="22"/>
  </cols>
  <sheetData>
    <row r="1" customFormat="false" ht="27.75" hidden="false" customHeight="true" outlineLevel="0" collapsed="false">
      <c r="A1" s="1" t="s">
        <v>2232</v>
      </c>
      <c r="B1" s="1"/>
      <c r="C1" s="1"/>
      <c r="D1" s="1"/>
      <c r="E1" s="1"/>
      <c r="F1" s="1"/>
      <c r="G1" s="1"/>
      <c r="H1" s="1"/>
      <c r="I1" s="1"/>
      <c r="J1" s="1"/>
    </row>
    <row r="2" customFormat="false" ht="18" hidden="false" customHeight="true" outlineLevel="0" collapsed="false">
      <c r="A2" s="2" t="s">
        <v>1</v>
      </c>
      <c r="B2" s="2"/>
      <c r="C2" s="2"/>
      <c r="D2" s="2"/>
      <c r="E2" s="2"/>
      <c r="F2" s="2"/>
      <c r="G2" s="2"/>
      <c r="H2" s="2"/>
      <c r="I2" s="2"/>
      <c r="J2" s="2"/>
    </row>
    <row r="4" customFormat="false" ht="15" hidden="false" customHeight="false" outlineLevel="0" collapsed="false">
      <c r="A4" s="10" t="s">
        <v>34</v>
      </c>
      <c r="B4" s="10" t="s">
        <v>35</v>
      </c>
      <c r="C4" s="10" t="s">
        <v>36</v>
      </c>
      <c r="D4" s="10" t="s">
        <v>37</v>
      </c>
      <c r="E4" s="10" t="s">
        <v>38</v>
      </c>
      <c r="F4" s="10" t="s">
        <v>39</v>
      </c>
      <c r="G4" s="10" t="s">
        <v>40</v>
      </c>
      <c r="H4" s="10" t="s">
        <v>41</v>
      </c>
      <c r="I4" s="10" t="s">
        <v>42</v>
      </c>
      <c r="J4" s="10" t="s">
        <v>43</v>
      </c>
    </row>
    <row r="5" customFormat="false" ht="36" hidden="false" customHeight="true" outlineLevel="0" collapsed="false">
      <c r="A5" s="8" t="s">
        <v>1745</v>
      </c>
      <c r="B5" s="8" t="s">
        <v>1746</v>
      </c>
      <c r="C5" s="8" t="s">
        <v>490</v>
      </c>
      <c r="D5" s="8" t="s">
        <v>485</v>
      </c>
      <c r="E5" s="8" t="s">
        <v>1747</v>
      </c>
      <c r="F5" s="8" t="s">
        <v>1748</v>
      </c>
      <c r="G5" s="8" t="s">
        <v>1749</v>
      </c>
      <c r="H5" s="8" t="s">
        <v>1750</v>
      </c>
      <c r="I5" s="8" t="s">
        <v>1751</v>
      </c>
      <c r="J5" s="8" t="s">
        <v>1752</v>
      </c>
    </row>
    <row r="6" customFormat="false" ht="36" hidden="false" customHeight="true" outlineLevel="0" collapsed="false">
      <c r="A6" s="9" t="s">
        <v>1753</v>
      </c>
      <c r="B6" s="9" t="s">
        <v>1754</v>
      </c>
      <c r="C6" s="9" t="s">
        <v>1752</v>
      </c>
      <c r="D6" s="9" t="s">
        <v>485</v>
      </c>
      <c r="E6" s="9" t="s">
        <v>1747</v>
      </c>
      <c r="F6" s="9" t="s">
        <v>1755</v>
      </c>
      <c r="G6" s="9" t="s">
        <v>1756</v>
      </c>
      <c r="H6" s="9" t="s">
        <v>1757</v>
      </c>
      <c r="I6" s="9" t="s">
        <v>1758</v>
      </c>
      <c r="J6" s="9" t="s">
        <v>490</v>
      </c>
    </row>
    <row r="7" customFormat="false" ht="36" hidden="false" customHeight="true" outlineLevel="0" collapsed="false">
      <c r="A7" s="8" t="s">
        <v>1759</v>
      </c>
      <c r="B7" s="8" t="s">
        <v>1760</v>
      </c>
      <c r="C7" s="8" t="s">
        <v>1761</v>
      </c>
      <c r="D7" s="8" t="s">
        <v>485</v>
      </c>
      <c r="E7" s="8" t="s">
        <v>971</v>
      </c>
      <c r="F7" s="8" t="s">
        <v>1762</v>
      </c>
      <c r="G7" s="8" t="s">
        <v>1763</v>
      </c>
      <c r="H7" s="8" t="s">
        <v>1764</v>
      </c>
      <c r="I7" s="8" t="s">
        <v>1765</v>
      </c>
      <c r="J7" s="8" t="s">
        <v>426</v>
      </c>
    </row>
    <row r="8" customFormat="false" ht="36" hidden="false" customHeight="true" outlineLevel="0" collapsed="false">
      <c r="A8" s="9" t="s">
        <v>1766</v>
      </c>
      <c r="B8" s="9" t="s">
        <v>1767</v>
      </c>
      <c r="C8" s="9" t="s">
        <v>1768</v>
      </c>
      <c r="D8" s="9" t="s">
        <v>485</v>
      </c>
      <c r="E8" s="9" t="s">
        <v>971</v>
      </c>
      <c r="F8" s="9" t="s">
        <v>1769</v>
      </c>
      <c r="G8" s="9" t="s">
        <v>1770</v>
      </c>
      <c r="H8" s="9" t="s">
        <v>1764</v>
      </c>
      <c r="I8" s="9" t="s">
        <v>1771</v>
      </c>
      <c r="J8" s="9" t="s">
        <v>426</v>
      </c>
    </row>
    <row r="9" customFormat="false" ht="36" hidden="false" customHeight="true" outlineLevel="0" collapsed="false">
      <c r="A9" s="8" t="s">
        <v>1772</v>
      </c>
      <c r="B9" s="8" t="s">
        <v>1773</v>
      </c>
      <c r="C9" s="8" t="s">
        <v>426</v>
      </c>
      <c r="D9" s="8" t="s">
        <v>485</v>
      </c>
      <c r="E9" s="8" t="s">
        <v>1774</v>
      </c>
      <c r="F9" s="8" t="s">
        <v>1775</v>
      </c>
      <c r="G9" s="8" t="s">
        <v>1776</v>
      </c>
      <c r="H9" s="8" t="s">
        <v>1764</v>
      </c>
      <c r="I9" s="8" t="s">
        <v>1777</v>
      </c>
      <c r="J9" s="8" t="s">
        <v>1778</v>
      </c>
    </row>
    <row r="10" customFormat="false" ht="36" hidden="false" customHeight="true" outlineLevel="0" collapsed="false">
      <c r="A10" s="9" t="s">
        <v>1779</v>
      </c>
      <c r="B10" s="9" t="s">
        <v>1780</v>
      </c>
      <c r="C10" s="9" t="s">
        <v>1778</v>
      </c>
      <c r="D10" s="9" t="s">
        <v>485</v>
      </c>
      <c r="E10" s="9" t="s">
        <v>1774</v>
      </c>
      <c r="F10" s="9" t="s">
        <v>1781</v>
      </c>
      <c r="G10" s="9" t="s">
        <v>1782</v>
      </c>
      <c r="H10" s="9" t="s">
        <v>1764</v>
      </c>
      <c r="I10" s="9" t="s">
        <v>1783</v>
      </c>
      <c r="J10" s="9" t="s">
        <v>1784</v>
      </c>
    </row>
    <row r="11" customFormat="false" ht="36" hidden="false" customHeight="true" outlineLevel="0" collapsed="false">
      <c r="A11" s="8" t="s">
        <v>1785</v>
      </c>
      <c r="B11" s="8" t="s">
        <v>1786</v>
      </c>
      <c r="C11" s="8" t="s">
        <v>1784</v>
      </c>
      <c r="D11" s="8" t="s">
        <v>485</v>
      </c>
      <c r="E11" s="8" t="s">
        <v>1774</v>
      </c>
      <c r="F11" s="8" t="s">
        <v>1787</v>
      </c>
      <c r="G11" s="8" t="s">
        <v>1788</v>
      </c>
      <c r="H11" s="8" t="s">
        <v>1757</v>
      </c>
      <c r="I11" s="8" t="s">
        <v>1789</v>
      </c>
      <c r="J11" s="8" t="s">
        <v>426</v>
      </c>
    </row>
    <row r="12" customFormat="false" ht="36" hidden="false" customHeight="true" outlineLevel="0" collapsed="false">
      <c r="A12" s="9" t="s">
        <v>1790</v>
      </c>
      <c r="B12" s="9" t="s">
        <v>1791</v>
      </c>
      <c r="C12" s="9"/>
      <c r="D12" s="9" t="s">
        <v>485</v>
      </c>
      <c r="E12" s="9" t="s">
        <v>72</v>
      </c>
      <c r="F12" s="9" t="s">
        <v>1792</v>
      </c>
      <c r="G12" s="9" t="s">
        <v>1793</v>
      </c>
      <c r="H12" s="9" t="s">
        <v>1757</v>
      </c>
      <c r="I12" s="9" t="s">
        <v>1794</v>
      </c>
      <c r="J12" s="9" t="s">
        <v>1795</v>
      </c>
    </row>
    <row r="13" customFormat="false" ht="36" hidden="false" customHeight="true" outlineLevel="0" collapsed="false">
      <c r="A13" s="8" t="s">
        <v>1796</v>
      </c>
      <c r="B13" s="8" t="s">
        <v>1797</v>
      </c>
      <c r="C13" s="8"/>
      <c r="D13" s="8" t="s">
        <v>485</v>
      </c>
      <c r="E13" s="8" t="s">
        <v>72</v>
      </c>
      <c r="F13" s="8" t="s">
        <v>1798</v>
      </c>
      <c r="G13" s="8" t="s">
        <v>1799</v>
      </c>
      <c r="H13" s="8" t="s">
        <v>1757</v>
      </c>
      <c r="I13" s="8" t="s">
        <v>1800</v>
      </c>
      <c r="J13" s="8" t="s">
        <v>1801</v>
      </c>
    </row>
    <row r="14" customFormat="false" ht="36" hidden="false" customHeight="true" outlineLevel="0" collapsed="false">
      <c r="A14" s="9" t="s">
        <v>1802</v>
      </c>
      <c r="B14" s="9" t="s">
        <v>1803</v>
      </c>
      <c r="C14" s="9"/>
      <c r="D14" s="9" t="s">
        <v>485</v>
      </c>
      <c r="E14" s="9" t="s">
        <v>1804</v>
      </c>
      <c r="F14" s="9" t="s">
        <v>1805</v>
      </c>
      <c r="G14" s="9" t="s">
        <v>1806</v>
      </c>
      <c r="H14" s="9" t="s">
        <v>1807</v>
      </c>
      <c r="I14" s="9" t="s">
        <v>1808</v>
      </c>
      <c r="J14" s="9" t="s">
        <v>1809</v>
      </c>
    </row>
    <row r="15" customFormat="false" ht="36" hidden="false" customHeight="true" outlineLevel="0" collapsed="false">
      <c r="A15" s="8" t="s">
        <v>1810</v>
      </c>
      <c r="B15" s="8" t="s">
        <v>1811</v>
      </c>
      <c r="C15" s="8" t="s">
        <v>1809</v>
      </c>
      <c r="D15" s="8" t="s">
        <v>485</v>
      </c>
      <c r="E15" s="8" t="s">
        <v>1812</v>
      </c>
      <c r="F15" s="8" t="s">
        <v>1813</v>
      </c>
      <c r="G15" s="8" t="s">
        <v>1814</v>
      </c>
      <c r="H15" s="8" t="s">
        <v>1815</v>
      </c>
      <c r="I15" s="8" t="s">
        <v>1816</v>
      </c>
      <c r="J15" s="8" t="s">
        <v>1817</v>
      </c>
    </row>
    <row r="16" customFormat="false" ht="36" hidden="false" customHeight="true" outlineLevel="0" collapsed="false">
      <c r="A16" s="9" t="s">
        <v>1818</v>
      </c>
      <c r="B16" s="9" t="s">
        <v>1819</v>
      </c>
      <c r="C16" s="9" t="s">
        <v>1817</v>
      </c>
      <c r="D16" s="9" t="s">
        <v>485</v>
      </c>
      <c r="E16" s="9" t="s">
        <v>1812</v>
      </c>
      <c r="F16" s="9" t="s">
        <v>1820</v>
      </c>
      <c r="G16" s="9" t="s">
        <v>1821</v>
      </c>
      <c r="H16" s="9" t="s">
        <v>1764</v>
      </c>
      <c r="I16" s="9" t="s">
        <v>1822</v>
      </c>
      <c r="J16" s="9" t="s">
        <v>1809</v>
      </c>
    </row>
    <row r="17" customFormat="false" ht="36" hidden="false" customHeight="true" outlineLevel="0" collapsed="false">
      <c r="A17" s="8" t="s">
        <v>1823</v>
      </c>
      <c r="B17" s="8" t="s">
        <v>1824</v>
      </c>
      <c r="C17" s="8" t="s">
        <v>1825</v>
      </c>
      <c r="D17" s="8" t="s">
        <v>485</v>
      </c>
      <c r="E17" s="8" t="s">
        <v>1826</v>
      </c>
      <c r="F17" s="8" t="s">
        <v>1827</v>
      </c>
      <c r="G17" s="8" t="s">
        <v>1828</v>
      </c>
      <c r="H17" s="8" t="s">
        <v>84</v>
      </c>
      <c r="I17" s="8" t="s">
        <v>1829</v>
      </c>
      <c r="J17" s="8" t="s">
        <v>1830</v>
      </c>
    </row>
    <row r="18" customFormat="false" ht="36" hidden="false" customHeight="true" outlineLevel="0" collapsed="false">
      <c r="A18" s="9" t="s">
        <v>1831</v>
      </c>
      <c r="B18" s="9" t="s">
        <v>1832</v>
      </c>
      <c r="C18" s="9" t="s">
        <v>1833</v>
      </c>
      <c r="D18" s="9" t="s">
        <v>485</v>
      </c>
      <c r="E18" s="9" t="s">
        <v>1826</v>
      </c>
      <c r="F18" s="9" t="s">
        <v>1834</v>
      </c>
      <c r="G18" s="9" t="s">
        <v>1835</v>
      </c>
      <c r="H18" s="9" t="s">
        <v>1836</v>
      </c>
      <c r="I18" s="9" t="s">
        <v>1837</v>
      </c>
      <c r="J18" s="9" t="s">
        <v>1830</v>
      </c>
    </row>
    <row r="19" customFormat="false" ht="36" hidden="false" customHeight="true" outlineLevel="0" collapsed="false">
      <c r="A19" s="8" t="s">
        <v>1838</v>
      </c>
      <c r="B19" s="8" t="s">
        <v>1839</v>
      </c>
      <c r="C19" s="8" t="s">
        <v>1830</v>
      </c>
      <c r="D19" s="8" t="s">
        <v>485</v>
      </c>
      <c r="E19" s="8" t="s">
        <v>1840</v>
      </c>
      <c r="F19" s="8" t="s">
        <v>1841</v>
      </c>
      <c r="G19" s="8" t="s">
        <v>1842</v>
      </c>
      <c r="H19" s="8" t="s">
        <v>1843</v>
      </c>
      <c r="I19" s="8" t="s">
        <v>1844</v>
      </c>
      <c r="J19" s="8" t="s">
        <v>1845</v>
      </c>
    </row>
    <row r="20" customFormat="false" ht="36" hidden="false" customHeight="true" outlineLevel="0" collapsed="false">
      <c r="A20" s="9" t="s">
        <v>1846</v>
      </c>
      <c r="B20" s="9" t="s">
        <v>1847</v>
      </c>
      <c r="C20" s="9" t="s">
        <v>1845</v>
      </c>
      <c r="D20" s="9" t="s">
        <v>485</v>
      </c>
      <c r="E20" s="9" t="s">
        <v>1840</v>
      </c>
      <c r="F20" s="9" t="s">
        <v>1848</v>
      </c>
      <c r="G20" s="9" t="s">
        <v>1849</v>
      </c>
      <c r="H20" s="9" t="s">
        <v>84</v>
      </c>
      <c r="I20" s="9" t="s">
        <v>1850</v>
      </c>
      <c r="J20" s="9" t="s">
        <v>1851</v>
      </c>
    </row>
    <row r="21" customFormat="false" ht="36" hidden="false" customHeight="true" outlineLevel="0" collapsed="false">
      <c r="A21" s="8" t="s">
        <v>1852</v>
      </c>
      <c r="B21" s="8" t="s">
        <v>1853</v>
      </c>
      <c r="C21" s="8" t="s">
        <v>1851</v>
      </c>
      <c r="D21" s="8" t="s">
        <v>485</v>
      </c>
      <c r="E21" s="8" t="s">
        <v>1840</v>
      </c>
      <c r="F21" s="8" t="s">
        <v>1854</v>
      </c>
      <c r="G21" s="8" t="s">
        <v>1855</v>
      </c>
      <c r="H21" s="8" t="s">
        <v>1856</v>
      </c>
      <c r="I21" s="8" t="s">
        <v>1857</v>
      </c>
      <c r="J21" s="8" t="s">
        <v>1830</v>
      </c>
    </row>
    <row r="22" customFormat="false" ht="36" hidden="false" customHeight="true" outlineLevel="0" collapsed="false">
      <c r="A22" s="9" t="s">
        <v>1858</v>
      </c>
      <c r="B22" s="9" t="s">
        <v>1859</v>
      </c>
      <c r="C22" s="9" t="s">
        <v>1860</v>
      </c>
      <c r="D22" s="9" t="s">
        <v>485</v>
      </c>
      <c r="E22" s="9" t="s">
        <v>1840</v>
      </c>
      <c r="F22" s="9" t="s">
        <v>1861</v>
      </c>
      <c r="G22" s="9" t="s">
        <v>1862</v>
      </c>
      <c r="H22" s="9" t="s">
        <v>1863</v>
      </c>
      <c r="I22" s="9" t="s">
        <v>1864</v>
      </c>
      <c r="J22" s="9" t="s">
        <v>1865</v>
      </c>
    </row>
    <row r="23" customFormat="false" ht="36" hidden="false" customHeight="true" outlineLevel="0" collapsed="false">
      <c r="A23" s="8" t="s">
        <v>1866</v>
      </c>
      <c r="B23" s="8" t="s">
        <v>1865</v>
      </c>
      <c r="C23" s="8" t="s">
        <v>1865</v>
      </c>
      <c r="D23" s="8" t="s">
        <v>485</v>
      </c>
      <c r="E23" s="8" t="s">
        <v>1747</v>
      </c>
      <c r="F23" s="8" t="s">
        <v>1867</v>
      </c>
      <c r="G23" s="8" t="s">
        <v>1868</v>
      </c>
      <c r="H23" s="8" t="s">
        <v>1863</v>
      </c>
      <c r="I23" s="8" t="s">
        <v>1869</v>
      </c>
      <c r="J23" s="8" t="s">
        <v>1870</v>
      </c>
    </row>
    <row r="24" customFormat="false" ht="36" hidden="false" customHeight="true" outlineLevel="0" collapsed="false">
      <c r="A24" s="9" t="s">
        <v>1871</v>
      </c>
      <c r="B24" s="9" t="s">
        <v>1872</v>
      </c>
      <c r="C24" s="9"/>
      <c r="D24" s="9" t="s">
        <v>485</v>
      </c>
      <c r="E24" s="9" t="s">
        <v>971</v>
      </c>
      <c r="F24" s="9" t="s">
        <v>1873</v>
      </c>
      <c r="G24" s="9" t="s">
        <v>1874</v>
      </c>
      <c r="H24" s="9" t="s">
        <v>1764</v>
      </c>
      <c r="I24" s="9" t="s">
        <v>1875</v>
      </c>
      <c r="J24" s="9" t="s">
        <v>1761</v>
      </c>
    </row>
    <row r="25" customFormat="false" ht="36" hidden="false" customHeight="true" outlineLevel="0" collapsed="false">
      <c r="A25" s="8" t="s">
        <v>1876</v>
      </c>
      <c r="B25" s="8" t="s">
        <v>1877</v>
      </c>
      <c r="C25" s="8"/>
      <c r="D25" s="8" t="s">
        <v>485</v>
      </c>
      <c r="E25" s="8" t="s">
        <v>1878</v>
      </c>
      <c r="F25" s="8" t="s">
        <v>1879</v>
      </c>
      <c r="G25" s="8" t="s">
        <v>1880</v>
      </c>
      <c r="H25" s="8" t="s">
        <v>1881</v>
      </c>
      <c r="I25" s="8" t="s">
        <v>1882</v>
      </c>
      <c r="J25" s="8" t="s">
        <v>490</v>
      </c>
    </row>
    <row r="26" customFormat="false" ht="36" hidden="false" customHeight="true" outlineLevel="0" collapsed="false">
      <c r="A26" s="9" t="s">
        <v>1883</v>
      </c>
      <c r="B26" s="9" t="s">
        <v>1884</v>
      </c>
      <c r="C26" s="9"/>
      <c r="D26" s="9" t="s">
        <v>485</v>
      </c>
      <c r="E26" s="9" t="s">
        <v>1878</v>
      </c>
      <c r="F26" s="9" t="s">
        <v>1885</v>
      </c>
      <c r="G26" s="9" t="s">
        <v>1886</v>
      </c>
      <c r="H26" s="9" t="s">
        <v>1887</v>
      </c>
      <c r="I26" s="9" t="s">
        <v>1888</v>
      </c>
      <c r="J26" s="9" t="s">
        <v>426</v>
      </c>
    </row>
    <row r="27" customFormat="false" ht="36" hidden="false" customHeight="true" outlineLevel="0" collapsed="false">
      <c r="A27" s="8" t="s">
        <v>1889</v>
      </c>
      <c r="B27" s="8" t="s">
        <v>1890</v>
      </c>
      <c r="C27" s="8" t="s">
        <v>1891</v>
      </c>
      <c r="D27" s="8" t="s">
        <v>485</v>
      </c>
      <c r="E27" s="8" t="s">
        <v>1891</v>
      </c>
      <c r="F27" s="8" t="s">
        <v>1892</v>
      </c>
      <c r="G27" s="8" t="s">
        <v>1893</v>
      </c>
      <c r="H27" s="8" t="s">
        <v>1894</v>
      </c>
      <c r="I27" s="8" t="s">
        <v>1895</v>
      </c>
      <c r="J27" s="8" t="s">
        <v>1896</v>
      </c>
    </row>
    <row r="28" customFormat="false" ht="36" hidden="false" customHeight="true" outlineLevel="0" collapsed="false">
      <c r="A28" s="9" t="s">
        <v>1897</v>
      </c>
      <c r="B28" s="9" t="s">
        <v>1898</v>
      </c>
      <c r="C28" s="9" t="s">
        <v>1896</v>
      </c>
      <c r="D28" s="9" t="s">
        <v>485</v>
      </c>
      <c r="E28" s="9" t="s">
        <v>1891</v>
      </c>
      <c r="F28" s="9" t="s">
        <v>1899</v>
      </c>
      <c r="G28" s="9" t="s">
        <v>1900</v>
      </c>
      <c r="H28" s="9" t="s">
        <v>1901</v>
      </c>
      <c r="I28" s="9" t="s">
        <v>1902</v>
      </c>
      <c r="J28" s="9" t="s">
        <v>1903</v>
      </c>
    </row>
    <row r="29" customFormat="false" ht="36" hidden="false" customHeight="true" outlineLevel="0" collapsed="false">
      <c r="A29" s="8" t="s">
        <v>1904</v>
      </c>
      <c r="B29" s="8" t="s">
        <v>1905</v>
      </c>
      <c r="C29" s="8" t="s">
        <v>1903</v>
      </c>
      <c r="D29" s="8" t="s">
        <v>485</v>
      </c>
      <c r="E29" s="8" t="s">
        <v>1891</v>
      </c>
      <c r="F29" s="8" t="s">
        <v>1906</v>
      </c>
      <c r="G29" s="8" t="s">
        <v>1907</v>
      </c>
      <c r="H29" s="8" t="s">
        <v>1908</v>
      </c>
      <c r="I29" s="8" t="s">
        <v>1909</v>
      </c>
      <c r="J29" s="8" t="s">
        <v>1634</v>
      </c>
    </row>
    <row r="30" customFormat="false" ht="36" hidden="false" customHeight="true" outlineLevel="0" collapsed="false">
      <c r="A30" s="9" t="s">
        <v>1910</v>
      </c>
      <c r="B30" s="9" t="s">
        <v>1911</v>
      </c>
      <c r="C30" s="9" t="s">
        <v>1634</v>
      </c>
      <c r="D30" s="9" t="s">
        <v>485</v>
      </c>
      <c r="E30" s="9" t="s">
        <v>1891</v>
      </c>
      <c r="F30" s="9" t="s">
        <v>1912</v>
      </c>
      <c r="G30" s="9" t="s">
        <v>1913</v>
      </c>
      <c r="H30" s="9" t="s">
        <v>1914</v>
      </c>
      <c r="I30" s="9" t="s">
        <v>1915</v>
      </c>
      <c r="J30" s="9" t="s">
        <v>1896</v>
      </c>
    </row>
    <row r="31" customFormat="false" ht="36" hidden="false" customHeight="true" outlineLevel="0" collapsed="false">
      <c r="A31" s="8" t="s">
        <v>1916</v>
      </c>
      <c r="B31" s="8" t="s">
        <v>1917</v>
      </c>
      <c r="C31" s="8" t="s">
        <v>1918</v>
      </c>
      <c r="D31" s="8" t="s">
        <v>485</v>
      </c>
      <c r="E31" s="8" t="s">
        <v>1891</v>
      </c>
      <c r="F31" s="8" t="s">
        <v>1919</v>
      </c>
      <c r="G31" s="8" t="s">
        <v>1920</v>
      </c>
      <c r="H31" s="8" t="s">
        <v>1921</v>
      </c>
      <c r="I31" s="8" t="s">
        <v>1922</v>
      </c>
      <c r="J31" s="8" t="s">
        <v>1896</v>
      </c>
    </row>
    <row r="32" customFormat="false" ht="36" hidden="false" customHeight="true" outlineLevel="0" collapsed="false">
      <c r="A32" s="9" t="s">
        <v>1923</v>
      </c>
      <c r="B32" s="9" t="s">
        <v>1924</v>
      </c>
      <c r="C32" s="9"/>
      <c r="D32" s="9" t="s">
        <v>485</v>
      </c>
      <c r="E32" s="9" t="s">
        <v>971</v>
      </c>
      <c r="F32" s="9" t="s">
        <v>1925</v>
      </c>
      <c r="G32" s="9" t="s">
        <v>1926</v>
      </c>
      <c r="H32" s="9" t="s">
        <v>1927</v>
      </c>
      <c r="I32" s="9" t="s">
        <v>1928</v>
      </c>
      <c r="J32" s="9" t="s">
        <v>1809</v>
      </c>
    </row>
    <row r="33" customFormat="false" ht="36" hidden="false" customHeight="true" outlineLevel="0" collapsed="false">
      <c r="A33" s="8" t="s">
        <v>1929</v>
      </c>
      <c r="B33" s="8" t="s">
        <v>1930</v>
      </c>
      <c r="C33" s="8"/>
      <c r="D33" s="8" t="s">
        <v>485</v>
      </c>
      <c r="E33" s="8" t="s">
        <v>1826</v>
      </c>
      <c r="F33" s="8" t="s">
        <v>1931</v>
      </c>
      <c r="G33" s="8" t="s">
        <v>1932</v>
      </c>
      <c r="H33" s="8" t="s">
        <v>1927</v>
      </c>
      <c r="I33" s="8" t="s">
        <v>1933</v>
      </c>
      <c r="J33" s="8" t="s">
        <v>1934</v>
      </c>
    </row>
    <row r="34" customFormat="false" ht="36" hidden="false" customHeight="true" outlineLevel="0" collapsed="false">
      <c r="A34" s="9" t="s">
        <v>1935</v>
      </c>
      <c r="B34" s="9" t="s">
        <v>1934</v>
      </c>
      <c r="C34" s="9"/>
      <c r="D34" s="9" t="s">
        <v>485</v>
      </c>
      <c r="E34" s="9" t="s">
        <v>1826</v>
      </c>
      <c r="F34" s="9" t="s">
        <v>1936</v>
      </c>
      <c r="G34" s="9" t="s">
        <v>1937</v>
      </c>
      <c r="H34" s="9" t="s">
        <v>1927</v>
      </c>
      <c r="I34" s="9" t="s">
        <v>1938</v>
      </c>
      <c r="J34" s="9" t="s">
        <v>1930</v>
      </c>
    </row>
    <row r="35" customFormat="false" ht="36" hidden="false" customHeight="true" outlineLevel="0" collapsed="false">
      <c r="A35" s="8" t="s">
        <v>1939</v>
      </c>
      <c r="B35" s="8" t="s">
        <v>1940</v>
      </c>
      <c r="C35" s="8"/>
      <c r="D35" s="8" t="s">
        <v>485</v>
      </c>
      <c r="E35" s="8" t="s">
        <v>1826</v>
      </c>
      <c r="F35" s="8" t="s">
        <v>1941</v>
      </c>
      <c r="G35" s="8" t="s">
        <v>1942</v>
      </c>
      <c r="H35" s="8" t="s">
        <v>1927</v>
      </c>
      <c r="I35" s="8" t="s">
        <v>1943</v>
      </c>
      <c r="J35" s="8" t="s">
        <v>1944</v>
      </c>
    </row>
    <row r="36" customFormat="false" ht="36" hidden="false" customHeight="true" outlineLevel="0" collapsed="false">
      <c r="A36" s="9" t="s">
        <v>1945</v>
      </c>
      <c r="B36" s="9" t="s">
        <v>1946</v>
      </c>
      <c r="C36" s="9" t="s">
        <v>1947</v>
      </c>
      <c r="D36" s="9" t="s">
        <v>485</v>
      </c>
      <c r="E36" s="9" t="s">
        <v>1336</v>
      </c>
      <c r="F36" s="9" t="s">
        <v>1948</v>
      </c>
      <c r="G36" s="9" t="s">
        <v>1949</v>
      </c>
      <c r="H36" s="9" t="s">
        <v>488</v>
      </c>
      <c r="I36" s="9" t="s">
        <v>1950</v>
      </c>
      <c r="J36" s="9" t="s">
        <v>1951</v>
      </c>
    </row>
    <row r="37" customFormat="false" ht="36" hidden="false" customHeight="true" outlineLevel="0" collapsed="false">
      <c r="A37" s="8" t="s">
        <v>1952</v>
      </c>
      <c r="B37" s="8" t="s">
        <v>1953</v>
      </c>
      <c r="C37" s="8"/>
      <c r="D37" s="8" t="s">
        <v>485</v>
      </c>
      <c r="E37" s="8" t="s">
        <v>1954</v>
      </c>
      <c r="F37" s="8" t="s">
        <v>1955</v>
      </c>
      <c r="G37" s="8" t="s">
        <v>1956</v>
      </c>
      <c r="H37" s="8" t="s">
        <v>1957</v>
      </c>
      <c r="I37" s="8" t="s">
        <v>1958</v>
      </c>
      <c r="J37" s="8" t="s">
        <v>1954</v>
      </c>
    </row>
  </sheetData>
  <autoFilter ref="A4:J37"/>
  <mergeCells count="2">
    <mergeCell ref="A1:J1"/>
    <mergeCell ref="A2:J2"/>
  </mergeCell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&amp;RPage &amp;P / &amp;N</oddFooter>
  </headerFooter>
  <drawing r:id="rId1"/>
  <tableParts>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6" min="6" style="0" width="62"/>
    <col collapsed="false" customWidth="true" hidden="false" outlineLevel="0" max="7" min="7" style="0" width="36"/>
    <col collapsed="false" customWidth="true" hidden="false" outlineLevel="0" max="8" min="8" style="0" width="28"/>
    <col collapsed="false" customWidth="true" hidden="false" outlineLevel="0" max="9" min="9" style="0" width="36"/>
    <col collapsed="false" customWidth="true" hidden="false" outlineLevel="0" max="10" min="10" style="0" width="22"/>
  </cols>
  <sheetData>
    <row r="1" customFormat="false" ht="27.75" hidden="false" customHeight="true" outlineLevel="0" collapsed="false">
      <c r="A1" s="1" t="s">
        <v>2233</v>
      </c>
      <c r="B1" s="1"/>
      <c r="C1" s="1"/>
      <c r="D1" s="1"/>
      <c r="E1" s="1"/>
      <c r="F1" s="1"/>
      <c r="G1" s="1"/>
      <c r="H1" s="1"/>
      <c r="I1" s="1"/>
      <c r="J1" s="1"/>
    </row>
    <row r="2" customFormat="false" ht="18" hidden="false" customHeight="true" outlineLevel="0" collapsed="false">
      <c r="A2" s="2" t="s">
        <v>1</v>
      </c>
      <c r="B2" s="2"/>
      <c r="C2" s="2"/>
      <c r="D2" s="2"/>
      <c r="E2" s="2"/>
      <c r="F2" s="2"/>
      <c r="G2" s="2"/>
      <c r="H2" s="2"/>
      <c r="I2" s="2"/>
      <c r="J2" s="2"/>
    </row>
    <row r="4" customFormat="false" ht="15" hidden="false" customHeight="false" outlineLevel="0" collapsed="false">
      <c r="A4" s="11" t="s">
        <v>34</v>
      </c>
      <c r="B4" s="11" t="s">
        <v>35</v>
      </c>
      <c r="C4" s="11" t="s">
        <v>36</v>
      </c>
      <c r="D4" s="11" t="s">
        <v>37</v>
      </c>
      <c r="E4" s="11" t="s">
        <v>38</v>
      </c>
      <c r="F4" s="11" t="s">
        <v>39</v>
      </c>
      <c r="G4" s="11" t="s">
        <v>40</v>
      </c>
      <c r="H4" s="11" t="s">
        <v>41</v>
      </c>
      <c r="I4" s="11" t="s">
        <v>42</v>
      </c>
      <c r="J4" s="11" t="s">
        <v>43</v>
      </c>
    </row>
    <row r="5" customFormat="false" ht="36" hidden="false" customHeight="true" outlineLevel="0" collapsed="false">
      <c r="A5" s="8" t="s">
        <v>1959</v>
      </c>
      <c r="B5" s="8" t="s">
        <v>1960</v>
      </c>
      <c r="C5" s="8"/>
      <c r="D5" s="8" t="s">
        <v>1954</v>
      </c>
      <c r="E5" s="8" t="s">
        <v>72</v>
      </c>
      <c r="F5" s="8" t="s">
        <v>1961</v>
      </c>
      <c r="G5" s="8" t="s">
        <v>1962</v>
      </c>
      <c r="H5" s="8" t="s">
        <v>1963</v>
      </c>
      <c r="I5" s="8" t="s">
        <v>1964</v>
      </c>
      <c r="J5" s="8" t="s">
        <v>1965</v>
      </c>
    </row>
    <row r="6" customFormat="false" ht="36" hidden="false" customHeight="true" outlineLevel="0" collapsed="false">
      <c r="A6" s="9" t="s">
        <v>1966</v>
      </c>
      <c r="B6" s="9" t="s">
        <v>1967</v>
      </c>
      <c r="C6" s="9" t="s">
        <v>1954</v>
      </c>
      <c r="D6" s="9" t="s">
        <v>1954</v>
      </c>
      <c r="E6" s="9" t="s">
        <v>1747</v>
      </c>
      <c r="F6" s="9" t="s">
        <v>1968</v>
      </c>
      <c r="G6" s="9" t="s">
        <v>1969</v>
      </c>
      <c r="H6" s="9" t="s">
        <v>1970</v>
      </c>
      <c r="I6" s="9" t="s">
        <v>1971</v>
      </c>
      <c r="J6" s="9" t="s">
        <v>490</v>
      </c>
    </row>
    <row r="7" customFormat="false" ht="36" hidden="false" customHeight="true" outlineLevel="0" collapsed="false">
      <c r="A7" s="8" t="s">
        <v>1972</v>
      </c>
      <c r="B7" s="8" t="s">
        <v>1973</v>
      </c>
      <c r="C7" s="8"/>
      <c r="D7" s="8" t="s">
        <v>1954</v>
      </c>
      <c r="E7" s="8" t="s">
        <v>1974</v>
      </c>
      <c r="F7" s="8" t="s">
        <v>1975</v>
      </c>
      <c r="G7" s="8" t="s">
        <v>1976</v>
      </c>
      <c r="H7" s="8" t="s">
        <v>1963</v>
      </c>
      <c r="I7" s="8" t="s">
        <v>1977</v>
      </c>
      <c r="J7" s="8" t="s">
        <v>1954</v>
      </c>
    </row>
    <row r="8" customFormat="false" ht="36" hidden="false" customHeight="true" outlineLevel="0" collapsed="false">
      <c r="A8" s="9" t="s">
        <v>1978</v>
      </c>
      <c r="B8" s="9" t="s">
        <v>1979</v>
      </c>
      <c r="C8" s="9"/>
      <c r="D8" s="9" t="s">
        <v>1954</v>
      </c>
      <c r="E8" s="9" t="s">
        <v>1980</v>
      </c>
      <c r="F8" s="9" t="s">
        <v>1981</v>
      </c>
      <c r="G8" s="9" t="s">
        <v>1982</v>
      </c>
      <c r="H8" s="9" t="s">
        <v>1957</v>
      </c>
      <c r="I8" s="9" t="s">
        <v>1983</v>
      </c>
      <c r="J8" s="9" t="s">
        <v>1984</v>
      </c>
    </row>
    <row r="9" customFormat="false" ht="36" hidden="false" customHeight="true" outlineLevel="0" collapsed="false">
      <c r="A9" s="8" t="s">
        <v>1985</v>
      </c>
      <c r="B9" s="8" t="s">
        <v>1986</v>
      </c>
      <c r="C9" s="8"/>
      <c r="D9" s="8" t="s">
        <v>1954</v>
      </c>
      <c r="E9" s="8" t="s">
        <v>1980</v>
      </c>
      <c r="F9" s="8" t="s">
        <v>1987</v>
      </c>
      <c r="G9" s="8" t="s">
        <v>1988</v>
      </c>
      <c r="H9" s="8" t="s">
        <v>1957</v>
      </c>
      <c r="I9" s="8" t="s">
        <v>1989</v>
      </c>
      <c r="J9" s="8" t="s">
        <v>1990</v>
      </c>
    </row>
    <row r="10" customFormat="false" ht="36" hidden="false" customHeight="true" outlineLevel="0" collapsed="false">
      <c r="A10" s="9" t="s">
        <v>1991</v>
      </c>
      <c r="B10" s="9" t="s">
        <v>1992</v>
      </c>
      <c r="C10" s="9"/>
      <c r="D10" s="9" t="s">
        <v>1954</v>
      </c>
      <c r="E10" s="9" t="s">
        <v>1980</v>
      </c>
      <c r="F10" s="9" t="s">
        <v>1993</v>
      </c>
      <c r="G10" s="9" t="s">
        <v>1994</v>
      </c>
      <c r="H10" s="9" t="s">
        <v>1995</v>
      </c>
      <c r="I10" s="9" t="s">
        <v>1996</v>
      </c>
      <c r="J10" s="9" t="s">
        <v>1980</v>
      </c>
    </row>
    <row r="11" customFormat="false" ht="36" hidden="false" customHeight="true" outlineLevel="0" collapsed="false">
      <c r="A11" s="8" t="s">
        <v>1997</v>
      </c>
      <c r="B11" s="8" t="s">
        <v>1998</v>
      </c>
      <c r="C11" s="8"/>
      <c r="D11" s="8" t="s">
        <v>1954</v>
      </c>
      <c r="E11" s="8" t="s">
        <v>1980</v>
      </c>
      <c r="F11" s="8" t="s">
        <v>1999</v>
      </c>
      <c r="G11" s="8" t="s">
        <v>2000</v>
      </c>
      <c r="H11" s="8" t="s">
        <v>2001</v>
      </c>
      <c r="I11" s="8" t="s">
        <v>2002</v>
      </c>
      <c r="J11" s="8" t="s">
        <v>2003</v>
      </c>
    </row>
    <row r="12" customFormat="false" ht="36" hidden="false" customHeight="true" outlineLevel="0" collapsed="false">
      <c r="A12" s="9" t="s">
        <v>2004</v>
      </c>
      <c r="B12" s="9" t="s">
        <v>2005</v>
      </c>
      <c r="C12" s="9" t="s">
        <v>2003</v>
      </c>
      <c r="D12" s="9" t="s">
        <v>1954</v>
      </c>
      <c r="E12" s="9" t="s">
        <v>2006</v>
      </c>
      <c r="F12" s="9" t="s">
        <v>2007</v>
      </c>
      <c r="G12" s="9" t="s">
        <v>2008</v>
      </c>
      <c r="H12" s="9" t="s">
        <v>1957</v>
      </c>
      <c r="I12" s="9" t="s">
        <v>2009</v>
      </c>
      <c r="J12" s="9" t="s">
        <v>2010</v>
      </c>
    </row>
    <row r="13" customFormat="false" ht="36" hidden="false" customHeight="true" outlineLevel="0" collapsed="false">
      <c r="A13" s="8" t="s">
        <v>2011</v>
      </c>
      <c r="B13" s="8" t="s">
        <v>2012</v>
      </c>
      <c r="C13" s="8"/>
      <c r="D13" s="8" t="s">
        <v>1954</v>
      </c>
      <c r="E13" s="8" t="s">
        <v>2006</v>
      </c>
      <c r="F13" s="8" t="s">
        <v>2013</v>
      </c>
      <c r="G13" s="8" t="s">
        <v>2014</v>
      </c>
      <c r="H13" s="8" t="s">
        <v>1957</v>
      </c>
      <c r="I13" s="8" t="s">
        <v>2015</v>
      </c>
      <c r="J13" s="8" t="s">
        <v>2016</v>
      </c>
    </row>
    <row r="14" customFormat="false" ht="36" hidden="false" customHeight="true" outlineLevel="0" collapsed="false">
      <c r="A14" s="9" t="s">
        <v>2017</v>
      </c>
      <c r="B14" s="9" t="s">
        <v>2016</v>
      </c>
      <c r="C14" s="9"/>
      <c r="D14" s="9" t="s">
        <v>1954</v>
      </c>
      <c r="E14" s="9" t="s">
        <v>2006</v>
      </c>
      <c r="F14" s="9" t="s">
        <v>2018</v>
      </c>
      <c r="G14" s="9" t="s">
        <v>2019</v>
      </c>
      <c r="H14" s="9" t="s">
        <v>2020</v>
      </c>
      <c r="I14" s="9" t="s">
        <v>2021</v>
      </c>
      <c r="J14" s="9" t="s">
        <v>2022</v>
      </c>
    </row>
    <row r="15" customFormat="false" ht="36" hidden="false" customHeight="true" outlineLevel="0" collapsed="false">
      <c r="A15" s="8" t="s">
        <v>2023</v>
      </c>
      <c r="B15" s="8" t="s">
        <v>2022</v>
      </c>
      <c r="C15" s="8"/>
      <c r="D15" s="8" t="s">
        <v>1954</v>
      </c>
      <c r="E15" s="8" t="s">
        <v>2006</v>
      </c>
      <c r="F15" s="8" t="s">
        <v>2024</v>
      </c>
      <c r="G15" s="8" t="s">
        <v>2025</v>
      </c>
      <c r="H15" s="8" t="s">
        <v>2026</v>
      </c>
      <c r="I15" s="8" t="s">
        <v>2027</v>
      </c>
      <c r="J15" s="8" t="s">
        <v>2028</v>
      </c>
    </row>
    <row r="16" customFormat="false" ht="36" hidden="false" customHeight="true" outlineLevel="0" collapsed="false">
      <c r="A16" s="9" t="s">
        <v>2029</v>
      </c>
      <c r="B16" s="9" t="s">
        <v>2030</v>
      </c>
      <c r="C16" s="9"/>
      <c r="D16" s="9" t="s">
        <v>1954</v>
      </c>
      <c r="E16" s="9" t="s">
        <v>2006</v>
      </c>
      <c r="F16" s="9" t="s">
        <v>2031</v>
      </c>
      <c r="G16" s="9" t="s">
        <v>2032</v>
      </c>
      <c r="H16" s="9" t="s">
        <v>2033</v>
      </c>
      <c r="I16" s="9" t="s">
        <v>2034</v>
      </c>
      <c r="J16" s="9" t="s">
        <v>2035</v>
      </c>
    </row>
    <row r="17" customFormat="false" ht="36" hidden="false" customHeight="true" outlineLevel="0" collapsed="false">
      <c r="A17" s="8" t="s">
        <v>2036</v>
      </c>
      <c r="B17" s="8" t="s">
        <v>2037</v>
      </c>
      <c r="C17" s="8"/>
      <c r="D17" s="8" t="s">
        <v>1954</v>
      </c>
      <c r="E17" s="8" t="s">
        <v>2006</v>
      </c>
      <c r="F17" s="8" t="s">
        <v>2038</v>
      </c>
      <c r="G17" s="8" t="s">
        <v>2039</v>
      </c>
      <c r="H17" s="8" t="s">
        <v>1957</v>
      </c>
      <c r="I17" s="8" t="s">
        <v>2040</v>
      </c>
      <c r="J17" s="8" t="s">
        <v>2030</v>
      </c>
    </row>
    <row r="18" customFormat="false" ht="36" hidden="false" customHeight="true" outlineLevel="0" collapsed="false">
      <c r="A18" s="9" t="s">
        <v>2041</v>
      </c>
      <c r="B18" s="9" t="s">
        <v>2042</v>
      </c>
      <c r="C18" s="9"/>
      <c r="D18" s="9" t="s">
        <v>1954</v>
      </c>
      <c r="E18" s="9" t="s">
        <v>2006</v>
      </c>
      <c r="F18" s="9" t="s">
        <v>2043</v>
      </c>
      <c r="G18" s="9" t="s">
        <v>2044</v>
      </c>
      <c r="H18" s="9" t="s">
        <v>1957</v>
      </c>
      <c r="I18" s="9" t="s">
        <v>2045</v>
      </c>
      <c r="J18" s="9" t="s">
        <v>2046</v>
      </c>
    </row>
    <row r="19" customFormat="false" ht="36" hidden="false" customHeight="true" outlineLevel="0" collapsed="false">
      <c r="A19" s="8" t="s">
        <v>2047</v>
      </c>
      <c r="B19" s="8" t="s">
        <v>2048</v>
      </c>
      <c r="C19" s="8"/>
      <c r="D19" s="8" t="s">
        <v>1954</v>
      </c>
      <c r="E19" s="8" t="s">
        <v>1801</v>
      </c>
      <c r="F19" s="8" t="s">
        <v>2049</v>
      </c>
      <c r="G19" s="8" t="s">
        <v>2050</v>
      </c>
      <c r="H19" s="8" t="s">
        <v>2051</v>
      </c>
      <c r="I19" s="8" t="s">
        <v>2052</v>
      </c>
      <c r="J19" s="8" t="s">
        <v>2053</v>
      </c>
    </row>
    <row r="20" customFormat="false" ht="36" hidden="false" customHeight="true" outlineLevel="0" collapsed="false">
      <c r="A20" s="9" t="s">
        <v>2054</v>
      </c>
      <c r="B20" s="9" t="s">
        <v>2055</v>
      </c>
      <c r="C20" s="9" t="s">
        <v>2056</v>
      </c>
      <c r="D20" s="9" t="s">
        <v>1954</v>
      </c>
      <c r="E20" s="9" t="s">
        <v>1840</v>
      </c>
      <c r="F20" s="9" t="s">
        <v>2057</v>
      </c>
      <c r="G20" s="9" t="s">
        <v>2058</v>
      </c>
      <c r="H20" s="9" t="s">
        <v>1957</v>
      </c>
      <c r="I20" s="9" t="s">
        <v>2059</v>
      </c>
      <c r="J20" s="9" t="s">
        <v>2060</v>
      </c>
    </row>
    <row r="21" customFormat="false" ht="36" hidden="false" customHeight="true" outlineLevel="0" collapsed="false">
      <c r="A21" s="8" t="s">
        <v>2061</v>
      </c>
      <c r="B21" s="8" t="s">
        <v>2062</v>
      </c>
      <c r="C21" s="8" t="s">
        <v>2060</v>
      </c>
      <c r="D21" s="8" t="s">
        <v>1954</v>
      </c>
      <c r="E21" s="8" t="s">
        <v>1840</v>
      </c>
      <c r="F21" s="8" t="s">
        <v>2063</v>
      </c>
      <c r="G21" s="8" t="s">
        <v>2064</v>
      </c>
      <c r="H21" s="8" t="s">
        <v>2065</v>
      </c>
      <c r="I21" s="8" t="s">
        <v>2066</v>
      </c>
      <c r="J21" s="8" t="s">
        <v>2056</v>
      </c>
    </row>
    <row r="22" customFormat="false" ht="36" hidden="false" customHeight="true" outlineLevel="0" collapsed="false">
      <c r="A22" s="9" t="s">
        <v>2067</v>
      </c>
      <c r="B22" s="9" t="s">
        <v>2068</v>
      </c>
      <c r="C22" s="9"/>
      <c r="D22" s="9" t="s">
        <v>1954</v>
      </c>
      <c r="E22" s="9" t="s">
        <v>1812</v>
      </c>
      <c r="F22" s="9" t="s">
        <v>2069</v>
      </c>
      <c r="G22" s="9" t="s">
        <v>2070</v>
      </c>
      <c r="H22" s="9" t="s">
        <v>1957</v>
      </c>
      <c r="I22" s="9" t="s">
        <v>2071</v>
      </c>
      <c r="J22" s="9" t="s">
        <v>1809</v>
      </c>
    </row>
    <row r="23" customFormat="false" ht="36" hidden="false" customHeight="true" outlineLevel="0" collapsed="false">
      <c r="A23" s="8" t="s">
        <v>2072</v>
      </c>
      <c r="B23" s="8" t="s">
        <v>2073</v>
      </c>
      <c r="C23" s="8"/>
      <c r="D23" s="8" t="s">
        <v>1954</v>
      </c>
      <c r="E23" s="8" t="s">
        <v>984</v>
      </c>
      <c r="F23" s="8" t="s">
        <v>2074</v>
      </c>
      <c r="G23" s="8" t="s">
        <v>2075</v>
      </c>
      <c r="H23" s="8" t="s">
        <v>1957</v>
      </c>
      <c r="I23" s="8" t="s">
        <v>2076</v>
      </c>
      <c r="J23" s="8" t="s">
        <v>2077</v>
      </c>
    </row>
    <row r="24" customFormat="false" ht="36" hidden="false" customHeight="true" outlineLevel="0" collapsed="false">
      <c r="A24" s="9" t="s">
        <v>2078</v>
      </c>
      <c r="B24" s="9" t="s">
        <v>2079</v>
      </c>
      <c r="C24" s="9" t="s">
        <v>2077</v>
      </c>
      <c r="D24" s="9" t="s">
        <v>1954</v>
      </c>
      <c r="E24" s="9" t="s">
        <v>1774</v>
      </c>
      <c r="F24" s="9" t="s">
        <v>2080</v>
      </c>
      <c r="G24" s="9" t="s">
        <v>2081</v>
      </c>
      <c r="H24" s="9" t="s">
        <v>2082</v>
      </c>
      <c r="I24" s="9" t="s">
        <v>2083</v>
      </c>
      <c r="J24" s="9" t="s">
        <v>2084</v>
      </c>
    </row>
    <row r="25" customFormat="false" ht="36" hidden="false" customHeight="true" outlineLevel="0" collapsed="false">
      <c r="A25" s="8" t="s">
        <v>2085</v>
      </c>
      <c r="B25" s="8" t="s">
        <v>2086</v>
      </c>
      <c r="C25" s="8" t="s">
        <v>2084</v>
      </c>
      <c r="D25" s="8" t="s">
        <v>1954</v>
      </c>
      <c r="E25" s="8" t="s">
        <v>1774</v>
      </c>
      <c r="F25" s="8" t="s">
        <v>2087</v>
      </c>
      <c r="G25" s="8" t="s">
        <v>2088</v>
      </c>
      <c r="H25" s="8" t="s">
        <v>2089</v>
      </c>
      <c r="I25" s="8" t="s">
        <v>2090</v>
      </c>
      <c r="J25" s="8" t="s">
        <v>2077</v>
      </c>
    </row>
    <row r="26" customFormat="false" ht="36" hidden="false" customHeight="true" outlineLevel="0" collapsed="false">
      <c r="A26" s="9" t="s">
        <v>2091</v>
      </c>
      <c r="B26" s="9" t="s">
        <v>2092</v>
      </c>
      <c r="C26" s="9" t="s">
        <v>2093</v>
      </c>
      <c r="D26" s="9" t="s">
        <v>1954</v>
      </c>
      <c r="E26" s="9" t="s">
        <v>1774</v>
      </c>
      <c r="F26" s="9" t="s">
        <v>2094</v>
      </c>
      <c r="G26" s="9" t="s">
        <v>2095</v>
      </c>
      <c r="H26" s="9" t="s">
        <v>2096</v>
      </c>
      <c r="I26" s="9" t="s">
        <v>2097</v>
      </c>
      <c r="J26" s="9" t="s">
        <v>1965</v>
      </c>
    </row>
    <row r="27" customFormat="false" ht="36" hidden="false" customHeight="true" outlineLevel="0" collapsed="false">
      <c r="A27" s="8" t="s">
        <v>2098</v>
      </c>
      <c r="B27" s="8" t="s">
        <v>1965</v>
      </c>
      <c r="C27" s="8"/>
      <c r="D27" s="8" t="s">
        <v>1954</v>
      </c>
      <c r="E27" s="8" t="s">
        <v>72</v>
      </c>
      <c r="F27" s="8" t="s">
        <v>2099</v>
      </c>
      <c r="G27" s="8" t="s">
        <v>2100</v>
      </c>
      <c r="H27" s="8" t="s">
        <v>1957</v>
      </c>
      <c r="I27" s="8" t="s">
        <v>2101</v>
      </c>
      <c r="J27" s="8" t="s">
        <v>1960</v>
      </c>
    </row>
    <row r="28" customFormat="false" ht="36" hidden="false" customHeight="true" outlineLevel="0" collapsed="false">
      <c r="A28" s="9" t="s">
        <v>2102</v>
      </c>
      <c r="B28" s="9" t="s">
        <v>2103</v>
      </c>
      <c r="C28" s="9"/>
      <c r="D28" s="9" t="s">
        <v>1954</v>
      </c>
      <c r="E28" s="9" t="s">
        <v>72</v>
      </c>
      <c r="F28" s="9" t="s">
        <v>2104</v>
      </c>
      <c r="G28" s="9" t="s">
        <v>2105</v>
      </c>
      <c r="H28" s="9" t="s">
        <v>2106</v>
      </c>
      <c r="I28" s="9" t="s">
        <v>2107</v>
      </c>
      <c r="J28" s="9" t="s">
        <v>2108</v>
      </c>
    </row>
    <row r="29" customFormat="false" ht="36" hidden="false" customHeight="true" outlineLevel="0" collapsed="false">
      <c r="A29" s="8" t="s">
        <v>2109</v>
      </c>
      <c r="B29" s="8" t="s">
        <v>2110</v>
      </c>
      <c r="C29" s="8"/>
      <c r="D29" s="8" t="s">
        <v>1954</v>
      </c>
      <c r="E29" s="8" t="s">
        <v>2006</v>
      </c>
      <c r="F29" s="8" t="s">
        <v>2111</v>
      </c>
      <c r="G29" s="8" t="s">
        <v>2112</v>
      </c>
      <c r="H29" s="8" t="s">
        <v>1957</v>
      </c>
      <c r="I29" s="8" t="s">
        <v>2113</v>
      </c>
      <c r="J29" s="8" t="s">
        <v>2028</v>
      </c>
    </row>
    <row r="30" customFormat="false" ht="36" hidden="false" customHeight="true" outlineLevel="0" collapsed="false">
      <c r="A30" s="9" t="s">
        <v>2114</v>
      </c>
      <c r="B30" s="9" t="s">
        <v>2115</v>
      </c>
      <c r="C30" s="9"/>
      <c r="D30" s="9" t="s">
        <v>1954</v>
      </c>
      <c r="E30" s="9" t="s">
        <v>1980</v>
      </c>
      <c r="F30" s="9" t="s">
        <v>2116</v>
      </c>
      <c r="G30" s="9" t="s">
        <v>2117</v>
      </c>
      <c r="H30" s="9" t="s">
        <v>2096</v>
      </c>
      <c r="I30" s="9" t="s">
        <v>2118</v>
      </c>
      <c r="J30" s="9" t="s">
        <v>1980</v>
      </c>
    </row>
    <row r="31" customFormat="false" ht="36" hidden="false" customHeight="true" outlineLevel="0" collapsed="false">
      <c r="A31" s="8" t="s">
        <v>2119</v>
      </c>
      <c r="B31" s="8" t="s">
        <v>2120</v>
      </c>
      <c r="C31" s="8"/>
      <c r="D31" s="8" t="s">
        <v>1954</v>
      </c>
      <c r="E31" s="8" t="s">
        <v>1980</v>
      </c>
      <c r="F31" s="8" t="s">
        <v>2121</v>
      </c>
      <c r="G31" s="8" t="s">
        <v>2122</v>
      </c>
      <c r="H31" s="8" t="s">
        <v>2096</v>
      </c>
      <c r="I31" s="8" t="s">
        <v>2123</v>
      </c>
      <c r="J31" s="8" t="s">
        <v>2124</v>
      </c>
    </row>
    <row r="32" customFormat="false" ht="36" hidden="false" customHeight="true" outlineLevel="0" collapsed="false">
      <c r="A32" s="9" t="s">
        <v>2125</v>
      </c>
      <c r="B32" s="9" t="s">
        <v>2126</v>
      </c>
      <c r="C32" s="9"/>
      <c r="D32" s="9" t="s">
        <v>1954</v>
      </c>
      <c r="E32" s="9" t="s">
        <v>1980</v>
      </c>
      <c r="F32" s="9" t="s">
        <v>2127</v>
      </c>
      <c r="G32" s="9" t="s">
        <v>2128</v>
      </c>
      <c r="H32" s="9" t="s">
        <v>2129</v>
      </c>
      <c r="I32" s="9" t="s">
        <v>2130</v>
      </c>
      <c r="J32" s="9" t="s">
        <v>1984</v>
      </c>
    </row>
    <row r="33" customFormat="false" ht="36" hidden="false" customHeight="true" outlineLevel="0" collapsed="false">
      <c r="A33" s="8" t="s">
        <v>2131</v>
      </c>
      <c r="B33" s="8" t="s">
        <v>2132</v>
      </c>
      <c r="C33" s="8"/>
      <c r="D33" s="8" t="s">
        <v>1954</v>
      </c>
      <c r="E33" s="8" t="s">
        <v>1980</v>
      </c>
      <c r="F33" s="8" t="s">
        <v>2133</v>
      </c>
      <c r="G33" s="8" t="s">
        <v>2134</v>
      </c>
      <c r="H33" s="8" t="s">
        <v>2135</v>
      </c>
      <c r="I33" s="8" t="s">
        <v>2136</v>
      </c>
      <c r="J33" s="8" t="s">
        <v>1903</v>
      </c>
    </row>
    <row r="34" customFormat="false" ht="36" hidden="false" customHeight="true" outlineLevel="0" collapsed="false">
      <c r="A34" s="9" t="s">
        <v>2137</v>
      </c>
      <c r="B34" s="9" t="s">
        <v>2138</v>
      </c>
      <c r="C34" s="9"/>
      <c r="D34" s="9" t="s">
        <v>1954</v>
      </c>
      <c r="E34" s="9" t="s">
        <v>1974</v>
      </c>
      <c r="F34" s="9" t="s">
        <v>2139</v>
      </c>
      <c r="G34" s="9" t="s">
        <v>2140</v>
      </c>
      <c r="H34" s="9" t="s">
        <v>2141</v>
      </c>
      <c r="I34" s="9" t="s">
        <v>2142</v>
      </c>
      <c r="J34" s="9" t="s">
        <v>2003</v>
      </c>
    </row>
    <row r="35" customFormat="false" ht="36" hidden="false" customHeight="true" outlineLevel="0" collapsed="false">
      <c r="A35" s="8" t="s">
        <v>2143</v>
      </c>
      <c r="B35" s="8" t="s">
        <v>2144</v>
      </c>
      <c r="C35" s="8"/>
      <c r="D35" s="8" t="s">
        <v>1954</v>
      </c>
      <c r="E35" s="8" t="s">
        <v>1974</v>
      </c>
      <c r="F35" s="8" t="s">
        <v>2145</v>
      </c>
      <c r="G35" s="8" t="s">
        <v>2146</v>
      </c>
      <c r="H35" s="8" t="s">
        <v>2147</v>
      </c>
      <c r="I35" s="8" t="s">
        <v>2148</v>
      </c>
      <c r="J35" s="8" t="s">
        <v>2046</v>
      </c>
    </row>
    <row r="36" customFormat="false" ht="36" hidden="false" customHeight="true" outlineLevel="0" collapsed="false">
      <c r="A36" s="9" t="s">
        <v>2149</v>
      </c>
      <c r="B36" s="9" t="s">
        <v>2150</v>
      </c>
      <c r="C36" s="9"/>
      <c r="D36" s="9" t="s">
        <v>1954</v>
      </c>
      <c r="E36" s="9" t="s">
        <v>1980</v>
      </c>
      <c r="F36" s="9" t="s">
        <v>2151</v>
      </c>
      <c r="G36" s="9" t="s">
        <v>2152</v>
      </c>
      <c r="H36" s="9" t="s">
        <v>1957</v>
      </c>
      <c r="I36" s="9" t="s">
        <v>2153</v>
      </c>
      <c r="J36" s="9" t="s">
        <v>2154</v>
      </c>
    </row>
    <row r="37" customFormat="false" ht="36" hidden="false" customHeight="true" outlineLevel="0" collapsed="false">
      <c r="A37" s="8" t="s">
        <v>2155</v>
      </c>
      <c r="B37" s="8" t="s">
        <v>2156</v>
      </c>
      <c r="C37" s="8"/>
      <c r="D37" s="8" t="s">
        <v>1954</v>
      </c>
      <c r="E37" s="8" t="s">
        <v>1980</v>
      </c>
      <c r="F37" s="8" t="s">
        <v>2157</v>
      </c>
      <c r="G37" s="8" t="s">
        <v>2158</v>
      </c>
      <c r="H37" s="8" t="s">
        <v>2159</v>
      </c>
      <c r="I37" s="8" t="s">
        <v>2160</v>
      </c>
      <c r="J37" s="8" t="s">
        <v>2150</v>
      </c>
    </row>
    <row r="38" customFormat="false" ht="36" hidden="false" customHeight="true" outlineLevel="0" collapsed="false">
      <c r="A38" s="9" t="s">
        <v>2161</v>
      </c>
      <c r="B38" s="9" t="s">
        <v>2162</v>
      </c>
      <c r="C38" s="9"/>
      <c r="D38" s="9" t="s">
        <v>1954</v>
      </c>
      <c r="E38" s="9" t="s">
        <v>1980</v>
      </c>
      <c r="F38" s="9" t="s">
        <v>2163</v>
      </c>
      <c r="G38" s="9" t="s">
        <v>2164</v>
      </c>
      <c r="H38" s="9" t="s">
        <v>2165</v>
      </c>
      <c r="I38" s="9" t="s">
        <v>2166</v>
      </c>
      <c r="J38" s="9" t="s">
        <v>1984</v>
      </c>
    </row>
    <row r="39" customFormat="false" ht="36" hidden="false" customHeight="true" outlineLevel="0" collapsed="false">
      <c r="A39" s="8" t="s">
        <v>2167</v>
      </c>
      <c r="B39" s="8" t="s">
        <v>2168</v>
      </c>
      <c r="C39" s="8" t="s">
        <v>2169</v>
      </c>
      <c r="D39" s="8" t="s">
        <v>1954</v>
      </c>
      <c r="E39" s="8" t="s">
        <v>1336</v>
      </c>
      <c r="F39" s="8" t="s">
        <v>2170</v>
      </c>
      <c r="G39" s="8" t="s">
        <v>2171</v>
      </c>
      <c r="H39" s="8" t="s">
        <v>1957</v>
      </c>
      <c r="I39" s="8" t="s">
        <v>2172</v>
      </c>
      <c r="J39" s="8" t="s">
        <v>1954</v>
      </c>
    </row>
    <row r="40" customFormat="false" ht="36" hidden="false" customHeight="true" outlineLevel="0" collapsed="false">
      <c r="A40" s="9" t="s">
        <v>2173</v>
      </c>
      <c r="B40" s="9" t="s">
        <v>2174</v>
      </c>
      <c r="C40" s="9"/>
      <c r="D40" s="9" t="s">
        <v>1954</v>
      </c>
      <c r="E40" s="9" t="s">
        <v>2175</v>
      </c>
      <c r="F40" s="9" t="s">
        <v>2176</v>
      </c>
      <c r="G40" s="9" t="s">
        <v>2177</v>
      </c>
      <c r="H40" s="9" t="s">
        <v>1957</v>
      </c>
      <c r="I40" s="9" t="s">
        <v>2178</v>
      </c>
      <c r="J40" s="9" t="s">
        <v>2056</v>
      </c>
    </row>
    <row r="41" customFormat="false" ht="36" hidden="false" customHeight="true" outlineLevel="0" collapsed="false">
      <c r="A41" s="8" t="s">
        <v>2179</v>
      </c>
      <c r="B41" s="8" t="s">
        <v>2180</v>
      </c>
      <c r="C41" s="8"/>
      <c r="D41" s="8" t="s">
        <v>1954</v>
      </c>
      <c r="E41" s="8" t="s">
        <v>2175</v>
      </c>
      <c r="F41" s="8" t="s">
        <v>2181</v>
      </c>
      <c r="G41" s="8" t="s">
        <v>2182</v>
      </c>
      <c r="H41" s="8" t="s">
        <v>1957</v>
      </c>
      <c r="I41" s="8" t="s">
        <v>2183</v>
      </c>
      <c r="J41" s="8" t="s">
        <v>2077</v>
      </c>
    </row>
    <row r="42" customFormat="false" ht="36" hidden="false" customHeight="true" outlineLevel="0" collapsed="false">
      <c r="A42" s="9" t="s">
        <v>2184</v>
      </c>
      <c r="B42" s="9" t="s">
        <v>2185</v>
      </c>
      <c r="C42" s="9"/>
      <c r="D42" s="9" t="s">
        <v>1954</v>
      </c>
      <c r="E42" s="9" t="s">
        <v>2175</v>
      </c>
      <c r="F42" s="9" t="s">
        <v>2186</v>
      </c>
      <c r="G42" s="9" t="s">
        <v>2187</v>
      </c>
      <c r="H42" s="9" t="s">
        <v>1957</v>
      </c>
      <c r="I42" s="9" t="s">
        <v>2188</v>
      </c>
      <c r="J42" s="9" t="s">
        <v>1809</v>
      </c>
    </row>
    <row r="43" customFormat="false" ht="36" hidden="false" customHeight="true" outlineLevel="0" collapsed="false">
      <c r="A43" s="8" t="s">
        <v>2189</v>
      </c>
      <c r="B43" s="8" t="s">
        <v>2190</v>
      </c>
      <c r="C43" s="8" t="s">
        <v>1957</v>
      </c>
      <c r="D43" s="8" t="s">
        <v>1954</v>
      </c>
      <c r="E43" s="8" t="s">
        <v>1405</v>
      </c>
      <c r="F43" s="8" t="s">
        <v>2191</v>
      </c>
      <c r="G43" s="8" t="s">
        <v>2192</v>
      </c>
      <c r="H43" s="8" t="s">
        <v>2193</v>
      </c>
      <c r="I43" s="8" t="s">
        <v>2194</v>
      </c>
      <c r="J43" s="8" t="s">
        <v>66</v>
      </c>
    </row>
    <row r="44" customFormat="false" ht="36" hidden="false" customHeight="true" outlineLevel="0" collapsed="false">
      <c r="A44" s="9" t="s">
        <v>2195</v>
      </c>
      <c r="B44" s="9" t="s">
        <v>2196</v>
      </c>
      <c r="C44" s="9"/>
      <c r="D44" s="9" t="s">
        <v>1954</v>
      </c>
      <c r="E44" s="9" t="s">
        <v>1974</v>
      </c>
      <c r="F44" s="9" t="s">
        <v>2197</v>
      </c>
      <c r="G44" s="9" t="s">
        <v>2198</v>
      </c>
      <c r="H44" s="9" t="s">
        <v>2199</v>
      </c>
      <c r="I44" s="9" t="s">
        <v>2200</v>
      </c>
      <c r="J44" s="9" t="s">
        <v>1954</v>
      </c>
    </row>
    <row r="45" customFormat="false" ht="36" hidden="false" customHeight="true" outlineLevel="0" collapsed="false">
      <c r="A45" s="8" t="s">
        <v>2201</v>
      </c>
      <c r="B45" s="8" t="s">
        <v>2202</v>
      </c>
      <c r="C45" s="8"/>
      <c r="D45" s="8" t="s">
        <v>1954</v>
      </c>
      <c r="E45" s="8" t="s">
        <v>2203</v>
      </c>
      <c r="F45" s="8" t="s">
        <v>2204</v>
      </c>
      <c r="G45" s="8" t="s">
        <v>2205</v>
      </c>
      <c r="H45" s="8" t="s">
        <v>2206</v>
      </c>
      <c r="I45" s="8" t="s">
        <v>2207</v>
      </c>
      <c r="J45" s="8" t="s">
        <v>1957</v>
      </c>
    </row>
    <row r="46" customFormat="false" ht="36" hidden="false" customHeight="true" outlineLevel="0" collapsed="false">
      <c r="A46" s="9" t="s">
        <v>2208</v>
      </c>
      <c r="B46" s="9" t="s">
        <v>2209</v>
      </c>
      <c r="C46" s="9"/>
      <c r="D46" s="9" t="s">
        <v>1954</v>
      </c>
      <c r="E46" s="9" t="s">
        <v>2203</v>
      </c>
      <c r="F46" s="9" t="s">
        <v>2210</v>
      </c>
      <c r="G46" s="9" t="s">
        <v>2211</v>
      </c>
      <c r="H46" s="9" t="s">
        <v>2212</v>
      </c>
      <c r="I46" s="9" t="s">
        <v>2213</v>
      </c>
      <c r="J46" s="9" t="s">
        <v>1903</v>
      </c>
    </row>
    <row r="47" customFormat="false" ht="36" hidden="false" customHeight="true" outlineLevel="0" collapsed="false">
      <c r="A47" s="8" t="s">
        <v>2214</v>
      </c>
      <c r="B47" s="8" t="s">
        <v>2215</v>
      </c>
      <c r="C47" s="8"/>
      <c r="D47" s="8" t="s">
        <v>1954</v>
      </c>
      <c r="E47" s="8" t="s">
        <v>477</v>
      </c>
      <c r="F47" s="8" t="s">
        <v>2216</v>
      </c>
      <c r="G47" s="8" t="s">
        <v>2217</v>
      </c>
      <c r="H47" s="8" t="s">
        <v>2218</v>
      </c>
      <c r="I47" s="8" t="s">
        <v>2219</v>
      </c>
      <c r="J47" s="8" t="s">
        <v>536</v>
      </c>
    </row>
    <row r="48" customFormat="false" ht="36" hidden="false" customHeight="true" outlineLevel="0" collapsed="false">
      <c r="A48" s="9" t="s">
        <v>2220</v>
      </c>
      <c r="B48" s="9" t="s">
        <v>2221</v>
      </c>
      <c r="C48" s="9" t="s">
        <v>2222</v>
      </c>
      <c r="D48" s="9" t="s">
        <v>1954</v>
      </c>
      <c r="E48" s="9" t="s">
        <v>477</v>
      </c>
      <c r="F48" s="9" t="s">
        <v>2223</v>
      </c>
      <c r="G48" s="9" t="s">
        <v>2224</v>
      </c>
      <c r="H48" s="9" t="s">
        <v>2225</v>
      </c>
      <c r="I48" s="9" t="s">
        <v>2226</v>
      </c>
      <c r="J48" s="9" t="s">
        <v>1903</v>
      </c>
    </row>
  </sheetData>
  <autoFilter ref="A4:J48"/>
  <mergeCells count="2">
    <mergeCell ref="A1:J1"/>
    <mergeCell ref="A2:J2"/>
  </mergeCell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&amp;RPage &amp;P / &amp;N</oddFooter>
  </headerFooter>
  <drawing r:id="rId1"/>
  <tableParts>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52"/>
    <col collapsed="false" customWidth="true" hidden="false" outlineLevel="0" max="3" min="3" style="0" width="14"/>
    <col collapsed="false" customWidth="true" hidden="false" outlineLevel="0" max="4" min="4" style="0" width="46"/>
  </cols>
  <sheetData>
    <row r="1" customFormat="false" ht="27.75" hidden="false" customHeight="true" outlineLevel="0" collapsed="false">
      <c r="A1" s="1" t="s">
        <v>2234</v>
      </c>
      <c r="B1" s="1"/>
      <c r="C1" s="1"/>
      <c r="D1" s="1"/>
    </row>
    <row r="2" customFormat="false" ht="18" hidden="false" customHeight="true" outlineLevel="0" collapsed="false">
      <c r="A2" s="2" t="s">
        <v>1</v>
      </c>
      <c r="B2" s="2"/>
      <c r="C2" s="2"/>
      <c r="D2" s="2"/>
    </row>
    <row r="4" customFormat="false" ht="15" hidden="false" customHeight="false" outlineLevel="0" collapsed="false">
      <c r="A4" s="12" t="s">
        <v>2235</v>
      </c>
      <c r="B4" s="12" t="s">
        <v>2236</v>
      </c>
      <c r="C4" s="12" t="s">
        <v>37</v>
      </c>
      <c r="D4" s="12" t="s">
        <v>2237</v>
      </c>
    </row>
    <row r="5" customFormat="false" ht="36" hidden="false" customHeight="true" outlineLevel="0" collapsed="false">
      <c r="A5" s="8" t="s">
        <v>108</v>
      </c>
      <c r="B5" s="8" t="s">
        <v>114</v>
      </c>
      <c r="C5" s="8" t="s">
        <v>46</v>
      </c>
      <c r="D5" s="8" t="s">
        <v>116</v>
      </c>
    </row>
    <row r="6" customFormat="false" ht="36" hidden="false" customHeight="true" outlineLevel="0" collapsed="false">
      <c r="A6" s="9" t="s">
        <v>95</v>
      </c>
      <c r="B6" s="9" t="s">
        <v>2238</v>
      </c>
      <c r="C6" s="9" t="s">
        <v>46</v>
      </c>
      <c r="D6" s="9" t="s">
        <v>97</v>
      </c>
    </row>
    <row r="7" customFormat="false" ht="36" hidden="false" customHeight="true" outlineLevel="0" collapsed="false">
      <c r="A7" s="8" t="s">
        <v>80</v>
      </c>
      <c r="B7" s="8" t="s">
        <v>88</v>
      </c>
      <c r="C7" s="8" t="s">
        <v>46</v>
      </c>
      <c r="D7" s="8" t="s">
        <v>90</v>
      </c>
    </row>
    <row r="8" customFormat="false" ht="36" hidden="false" customHeight="true" outlineLevel="0" collapsed="false">
      <c r="A8" s="9" t="s">
        <v>504</v>
      </c>
      <c r="B8" s="9" t="s">
        <v>2239</v>
      </c>
      <c r="C8" s="9" t="s">
        <v>46</v>
      </c>
      <c r="D8" s="9" t="s">
        <v>2240</v>
      </c>
    </row>
    <row r="9" customFormat="false" ht="36" hidden="false" customHeight="true" outlineLevel="0" collapsed="false">
      <c r="A9" s="8" t="s">
        <v>121</v>
      </c>
      <c r="B9" s="8" t="s">
        <v>120</v>
      </c>
      <c r="C9" s="8" t="s">
        <v>46</v>
      </c>
      <c r="D9" s="8" t="s">
        <v>123</v>
      </c>
    </row>
    <row r="10" customFormat="false" ht="36" hidden="false" customHeight="true" outlineLevel="0" collapsed="false">
      <c r="A10" s="9" t="s">
        <v>128</v>
      </c>
      <c r="B10" s="9" t="s">
        <v>127</v>
      </c>
      <c r="C10" s="9" t="s">
        <v>46</v>
      </c>
      <c r="D10" s="9" t="s">
        <v>130</v>
      </c>
    </row>
    <row r="11" customFormat="false" ht="36" hidden="false" customHeight="true" outlineLevel="0" collapsed="false">
      <c r="A11" s="8" t="s">
        <v>134</v>
      </c>
      <c r="B11" s="8" t="s">
        <v>133</v>
      </c>
      <c r="C11" s="8" t="s">
        <v>46</v>
      </c>
      <c r="D11" s="8" t="s">
        <v>136</v>
      </c>
    </row>
    <row r="12" customFormat="false" ht="36" hidden="false" customHeight="true" outlineLevel="0" collapsed="false">
      <c r="A12" s="9" t="s">
        <v>63</v>
      </c>
      <c r="B12" s="9" t="s">
        <v>62</v>
      </c>
      <c r="C12" s="9" t="s">
        <v>46</v>
      </c>
      <c r="D12" s="9" t="s">
        <v>65</v>
      </c>
    </row>
    <row r="13" customFormat="false" ht="36" hidden="false" customHeight="true" outlineLevel="0" collapsed="false">
      <c r="A13" s="8" t="s">
        <v>71</v>
      </c>
      <c r="B13" s="8" t="s">
        <v>70</v>
      </c>
      <c r="C13" s="8" t="s">
        <v>46</v>
      </c>
      <c r="D13" s="8" t="s">
        <v>74</v>
      </c>
    </row>
    <row r="14" customFormat="false" ht="36" hidden="false" customHeight="true" outlineLevel="0" collapsed="false">
      <c r="A14" s="9" t="s">
        <v>734</v>
      </c>
      <c r="B14" s="9" t="s">
        <v>748</v>
      </c>
      <c r="C14" s="9" t="s">
        <v>665</v>
      </c>
      <c r="D14" s="9" t="s">
        <v>750</v>
      </c>
    </row>
    <row r="15" customFormat="false" ht="36" hidden="false" customHeight="true" outlineLevel="0" collapsed="false">
      <c r="A15" s="8" t="s">
        <v>536</v>
      </c>
      <c r="B15" s="8" t="s">
        <v>753</v>
      </c>
      <c r="C15" s="8" t="s">
        <v>665</v>
      </c>
      <c r="D15" s="8" t="s">
        <v>755</v>
      </c>
    </row>
    <row r="16" customFormat="false" ht="36" hidden="false" customHeight="true" outlineLevel="0" collapsed="false">
      <c r="A16" s="9" t="s">
        <v>118</v>
      </c>
      <c r="B16" s="9" t="s">
        <v>664</v>
      </c>
      <c r="C16" s="9" t="s">
        <v>665</v>
      </c>
      <c r="D16" s="9" t="s">
        <v>668</v>
      </c>
    </row>
    <row r="17" customFormat="false" ht="36" hidden="false" customHeight="true" outlineLevel="0" collapsed="false">
      <c r="A17" s="8" t="s">
        <v>678</v>
      </c>
      <c r="B17" s="8" t="s">
        <v>677</v>
      </c>
      <c r="C17" s="8" t="s">
        <v>665</v>
      </c>
      <c r="D17" s="8" t="s">
        <v>680</v>
      </c>
    </row>
    <row r="18" customFormat="false" ht="36" hidden="false" customHeight="true" outlineLevel="0" collapsed="false">
      <c r="A18" s="9" t="s">
        <v>690</v>
      </c>
      <c r="B18" s="9" t="s">
        <v>689</v>
      </c>
      <c r="C18" s="9" t="s">
        <v>665</v>
      </c>
      <c r="D18" s="9" t="s">
        <v>692</v>
      </c>
    </row>
    <row r="19" customFormat="false" ht="36" hidden="false" customHeight="true" outlineLevel="0" collapsed="false">
      <c r="A19" s="8" t="s">
        <v>105</v>
      </c>
      <c r="B19" s="8" t="s">
        <v>702</v>
      </c>
      <c r="C19" s="8" t="s">
        <v>665</v>
      </c>
      <c r="D19" s="8" t="s">
        <v>704</v>
      </c>
    </row>
    <row r="20" customFormat="false" ht="36" hidden="false" customHeight="true" outlineLevel="0" collapsed="false">
      <c r="A20" s="9" t="s">
        <v>684</v>
      </c>
      <c r="B20" s="9" t="s">
        <v>683</v>
      </c>
      <c r="C20" s="9" t="s">
        <v>665</v>
      </c>
      <c r="D20" s="9" t="s">
        <v>686</v>
      </c>
    </row>
    <row r="21" customFormat="false" ht="36" hidden="false" customHeight="true" outlineLevel="0" collapsed="false">
      <c r="A21" s="8" t="s">
        <v>92</v>
      </c>
      <c r="B21" s="8" t="s">
        <v>696</v>
      </c>
      <c r="C21" s="8" t="s">
        <v>665</v>
      </c>
      <c r="D21" s="8" t="s">
        <v>698</v>
      </c>
    </row>
    <row r="22" customFormat="false" ht="36" hidden="false" customHeight="true" outlineLevel="0" collapsed="false">
      <c r="A22" s="9" t="s">
        <v>1425</v>
      </c>
      <c r="B22" s="9" t="s">
        <v>1424</v>
      </c>
      <c r="C22" s="9" t="s">
        <v>1404</v>
      </c>
      <c r="D22" s="9" t="s">
        <v>2241</v>
      </c>
    </row>
    <row r="23" customFormat="false" ht="36" hidden="false" customHeight="true" outlineLevel="0" collapsed="false">
      <c r="A23" s="8" t="s">
        <v>1433</v>
      </c>
      <c r="B23" s="8" t="s">
        <v>1432</v>
      </c>
      <c r="C23" s="8" t="s">
        <v>1404</v>
      </c>
      <c r="D23" s="8" t="s">
        <v>2242</v>
      </c>
    </row>
    <row r="24" customFormat="false" ht="36" hidden="false" customHeight="true" outlineLevel="0" collapsed="false">
      <c r="A24" s="9" t="s">
        <v>1415</v>
      </c>
      <c r="B24" s="9" t="s">
        <v>1417</v>
      </c>
      <c r="C24" s="9" t="s">
        <v>1404</v>
      </c>
      <c r="D24" s="9" t="s">
        <v>1420</v>
      </c>
    </row>
    <row r="25" customFormat="false" ht="36" hidden="false" customHeight="true" outlineLevel="0" collapsed="false">
      <c r="A25" s="8" t="s">
        <v>408</v>
      </c>
      <c r="B25" s="8" t="s">
        <v>1439</v>
      </c>
      <c r="C25" s="8" t="s">
        <v>1404</v>
      </c>
      <c r="D25" s="8" t="s">
        <v>1442</v>
      </c>
    </row>
    <row r="26" customFormat="false" ht="36" hidden="false" customHeight="true" outlineLevel="0" collapsed="false">
      <c r="A26" s="9" t="s">
        <v>1444</v>
      </c>
      <c r="B26" s="9" t="s">
        <v>1446</v>
      </c>
      <c r="C26" s="9" t="s">
        <v>1404</v>
      </c>
      <c r="D26" s="9" t="s">
        <v>1448</v>
      </c>
    </row>
    <row r="27" customFormat="false" ht="36" hidden="false" customHeight="true" outlineLevel="0" collapsed="false">
      <c r="A27" s="8" t="s">
        <v>1450</v>
      </c>
      <c r="B27" s="8" t="s">
        <v>1452</v>
      </c>
      <c r="C27" s="8" t="s">
        <v>1404</v>
      </c>
      <c r="D27" s="8" t="s">
        <v>1454</v>
      </c>
    </row>
    <row r="28" customFormat="false" ht="36" hidden="false" customHeight="true" outlineLevel="0" collapsed="false">
      <c r="A28" s="9" t="s">
        <v>1456</v>
      </c>
      <c r="B28" s="9" t="s">
        <v>1458</v>
      </c>
      <c r="C28" s="9" t="s">
        <v>1404</v>
      </c>
      <c r="D28" s="9" t="s">
        <v>2243</v>
      </c>
    </row>
    <row r="29" customFormat="false" ht="36" hidden="false" customHeight="true" outlineLevel="0" collapsed="false">
      <c r="A29" s="8" t="s">
        <v>1465</v>
      </c>
      <c r="B29" s="8" t="s">
        <v>1464</v>
      </c>
      <c r="C29" s="8" t="s">
        <v>1404</v>
      </c>
      <c r="D29" s="8" t="s">
        <v>1467</v>
      </c>
    </row>
    <row r="30" customFormat="false" ht="36" hidden="false" customHeight="true" outlineLevel="0" collapsed="false">
      <c r="A30" s="9" t="s">
        <v>2244</v>
      </c>
      <c r="B30" s="9" t="s">
        <v>2245</v>
      </c>
      <c r="C30" s="9" t="s">
        <v>1404</v>
      </c>
      <c r="D30" s="9" t="s">
        <v>1473</v>
      </c>
    </row>
    <row r="31" customFormat="false" ht="36" hidden="false" customHeight="true" outlineLevel="0" collapsed="false">
      <c r="A31" s="8" t="s">
        <v>1476</v>
      </c>
      <c r="B31" s="8" t="s">
        <v>2246</v>
      </c>
      <c r="C31" s="8" t="s">
        <v>1404</v>
      </c>
      <c r="D31" s="8" t="s">
        <v>2247</v>
      </c>
    </row>
    <row r="32" customFormat="false" ht="36" hidden="false" customHeight="true" outlineLevel="0" collapsed="false">
      <c r="A32" s="9" t="s">
        <v>1497</v>
      </c>
      <c r="B32" s="9" t="s">
        <v>2248</v>
      </c>
      <c r="C32" s="9" t="s">
        <v>1404</v>
      </c>
      <c r="D32" s="9" t="s">
        <v>1481</v>
      </c>
    </row>
    <row r="33" customFormat="false" ht="36" hidden="false" customHeight="true" outlineLevel="0" collapsed="false">
      <c r="A33" s="8" t="s">
        <v>2249</v>
      </c>
      <c r="B33" s="8" t="s">
        <v>2250</v>
      </c>
      <c r="C33" s="8" t="s">
        <v>1404</v>
      </c>
      <c r="D33" s="8" t="s">
        <v>2251</v>
      </c>
    </row>
    <row r="34" customFormat="false" ht="36" hidden="false" customHeight="true" outlineLevel="0" collapsed="false">
      <c r="A34" s="9" t="s">
        <v>2252</v>
      </c>
      <c r="B34" s="9" t="s">
        <v>2253</v>
      </c>
      <c r="C34" s="9" t="s">
        <v>1404</v>
      </c>
      <c r="D34" s="9" t="s">
        <v>2254</v>
      </c>
    </row>
    <row r="35" customFormat="false" ht="36" hidden="false" customHeight="true" outlineLevel="0" collapsed="false">
      <c r="A35" s="8" t="s">
        <v>2255</v>
      </c>
      <c r="B35" s="8" t="s">
        <v>2256</v>
      </c>
      <c r="C35" s="8" t="s">
        <v>1404</v>
      </c>
      <c r="D35" s="8" t="s">
        <v>1488</v>
      </c>
    </row>
    <row r="36" customFormat="false" ht="36" hidden="false" customHeight="true" outlineLevel="0" collapsed="false">
      <c r="A36" s="9" t="s">
        <v>1483</v>
      </c>
      <c r="B36" s="9" t="s">
        <v>1492</v>
      </c>
      <c r="C36" s="9" t="s">
        <v>1404</v>
      </c>
      <c r="D36" s="9" t="s">
        <v>1495</v>
      </c>
    </row>
    <row r="37" customFormat="false" ht="36" hidden="false" customHeight="true" outlineLevel="0" collapsed="false">
      <c r="A37" s="8" t="s">
        <v>730</v>
      </c>
      <c r="B37" s="8" t="s">
        <v>855</v>
      </c>
      <c r="C37" s="8" t="s">
        <v>665</v>
      </c>
      <c r="D37" s="8" t="s">
        <v>857</v>
      </c>
    </row>
    <row r="38" customFormat="false" ht="36" hidden="false" customHeight="true" outlineLevel="0" collapsed="false">
      <c r="A38" s="9" t="s">
        <v>359</v>
      </c>
      <c r="B38" s="9" t="s">
        <v>861</v>
      </c>
      <c r="C38" s="9" t="s">
        <v>665</v>
      </c>
      <c r="D38" s="9" t="s">
        <v>863</v>
      </c>
    </row>
    <row r="39" customFormat="false" ht="36" hidden="false" customHeight="true" outlineLevel="0" collapsed="false">
      <c r="A39" s="8" t="s">
        <v>867</v>
      </c>
      <c r="B39" s="8" t="s">
        <v>866</v>
      </c>
      <c r="C39" s="8" t="s">
        <v>665</v>
      </c>
      <c r="D39" s="8" t="s">
        <v>869</v>
      </c>
    </row>
    <row r="40" customFormat="false" ht="36" hidden="false" customHeight="true" outlineLevel="0" collapsed="false">
      <c r="A40" s="9" t="s">
        <v>348</v>
      </c>
      <c r="B40" s="9" t="s">
        <v>347</v>
      </c>
      <c r="C40" s="9" t="s">
        <v>46</v>
      </c>
      <c r="D40" s="9" t="s">
        <v>350</v>
      </c>
    </row>
    <row r="41" customFormat="false" ht="36" hidden="false" customHeight="true" outlineLevel="0" collapsed="false">
      <c r="A41" s="8" t="s">
        <v>250</v>
      </c>
      <c r="B41" s="8" t="s">
        <v>579</v>
      </c>
      <c r="C41" s="8" t="s">
        <v>46</v>
      </c>
      <c r="D41" s="8" t="s">
        <v>582</v>
      </c>
    </row>
    <row r="42" customFormat="false" ht="36" hidden="false" customHeight="true" outlineLevel="0" collapsed="false">
      <c r="A42" s="9" t="s">
        <v>591</v>
      </c>
      <c r="B42" s="9" t="s">
        <v>2257</v>
      </c>
      <c r="C42" s="9" t="s">
        <v>46</v>
      </c>
      <c r="D42" s="9" t="s">
        <v>2258</v>
      </c>
    </row>
    <row r="43" customFormat="false" ht="36" hidden="false" customHeight="true" outlineLevel="0" collapsed="false">
      <c r="A43" s="8" t="s">
        <v>597</v>
      </c>
      <c r="B43" s="8" t="s">
        <v>2259</v>
      </c>
      <c r="C43" s="8" t="s">
        <v>46</v>
      </c>
      <c r="D43" s="8" t="s">
        <v>2260</v>
      </c>
    </row>
    <row r="44" customFormat="false" ht="36" hidden="false" customHeight="true" outlineLevel="0" collapsed="false">
      <c r="A44" s="9" t="s">
        <v>600</v>
      </c>
      <c r="B44" s="9" t="s">
        <v>599</v>
      </c>
      <c r="C44" s="9" t="s">
        <v>46</v>
      </c>
      <c r="D44" s="9" t="s">
        <v>602</v>
      </c>
    </row>
    <row r="45" customFormat="false" ht="36" hidden="false" customHeight="true" outlineLevel="0" collapsed="false">
      <c r="A45" s="8" t="s">
        <v>604</v>
      </c>
      <c r="B45" s="8" t="s">
        <v>606</v>
      </c>
      <c r="C45" s="8" t="s">
        <v>46</v>
      </c>
      <c r="D45" s="8" t="s">
        <v>608</v>
      </c>
    </row>
    <row r="46" customFormat="false" ht="36" hidden="false" customHeight="true" outlineLevel="0" collapsed="false">
      <c r="A46" s="9" t="s">
        <v>245</v>
      </c>
      <c r="B46" s="9" t="s">
        <v>282</v>
      </c>
      <c r="C46" s="9" t="s">
        <v>46</v>
      </c>
      <c r="D46" s="9" t="s">
        <v>284</v>
      </c>
    </row>
    <row r="47" customFormat="false" ht="36" hidden="false" customHeight="true" outlineLevel="0" collapsed="false">
      <c r="A47" s="8" t="s">
        <v>277</v>
      </c>
      <c r="B47" s="8" t="s">
        <v>276</v>
      </c>
      <c r="C47" s="8" t="s">
        <v>46</v>
      </c>
      <c r="D47" s="8" t="s">
        <v>279</v>
      </c>
    </row>
    <row r="48" customFormat="false" ht="36" hidden="false" customHeight="true" outlineLevel="0" collapsed="false">
      <c r="A48" s="9" t="s">
        <v>255</v>
      </c>
      <c r="B48" s="9" t="s">
        <v>2261</v>
      </c>
      <c r="C48" s="9" t="s">
        <v>46</v>
      </c>
      <c r="D48" s="9" t="s">
        <v>2262</v>
      </c>
    </row>
    <row r="49" customFormat="false" ht="36" hidden="false" customHeight="true" outlineLevel="0" collapsed="false">
      <c r="A49" s="8" t="s">
        <v>263</v>
      </c>
      <c r="B49" s="8" t="s">
        <v>2263</v>
      </c>
      <c r="C49" s="8" t="s">
        <v>46</v>
      </c>
      <c r="D49" s="8" t="s">
        <v>2264</v>
      </c>
    </row>
    <row r="50" customFormat="false" ht="36" hidden="false" customHeight="true" outlineLevel="0" collapsed="false">
      <c r="A50" s="9" t="s">
        <v>267</v>
      </c>
      <c r="B50" s="9" t="s">
        <v>2265</v>
      </c>
      <c r="C50" s="9" t="s">
        <v>46</v>
      </c>
      <c r="D50" s="9" t="s">
        <v>2266</v>
      </c>
    </row>
    <row r="51" customFormat="false" ht="36" hidden="false" customHeight="true" outlineLevel="0" collapsed="false">
      <c r="A51" s="8" t="s">
        <v>288</v>
      </c>
      <c r="B51" s="8" t="s">
        <v>287</v>
      </c>
      <c r="C51" s="8" t="s">
        <v>46</v>
      </c>
      <c r="D51" s="8" t="s">
        <v>2267</v>
      </c>
    </row>
    <row r="52" customFormat="false" ht="36" hidden="false" customHeight="true" outlineLevel="0" collapsed="false">
      <c r="A52" s="9" t="s">
        <v>293</v>
      </c>
      <c r="B52" s="9" t="s">
        <v>295</v>
      </c>
      <c r="C52" s="9" t="s">
        <v>46</v>
      </c>
      <c r="D52" s="9" t="s">
        <v>297</v>
      </c>
    </row>
    <row r="53" customFormat="false" ht="36" hidden="false" customHeight="true" outlineLevel="0" collapsed="false">
      <c r="A53" s="8" t="s">
        <v>305</v>
      </c>
      <c r="B53" s="8" t="s">
        <v>307</v>
      </c>
      <c r="C53" s="8" t="s">
        <v>46</v>
      </c>
      <c r="D53" s="8" t="s">
        <v>310</v>
      </c>
    </row>
    <row r="54" customFormat="false" ht="36" hidden="false" customHeight="true" outlineLevel="0" collapsed="false">
      <c r="A54" s="9" t="s">
        <v>313</v>
      </c>
      <c r="B54" s="9" t="s">
        <v>315</v>
      </c>
      <c r="C54" s="9" t="s">
        <v>46</v>
      </c>
      <c r="D54" s="9" t="s">
        <v>317</v>
      </c>
    </row>
    <row r="55" customFormat="false" ht="36" hidden="false" customHeight="true" outlineLevel="0" collapsed="false">
      <c r="A55" s="8" t="s">
        <v>320</v>
      </c>
      <c r="B55" s="8" t="s">
        <v>1019</v>
      </c>
      <c r="C55" s="8" t="s">
        <v>906</v>
      </c>
      <c r="D55" s="8" t="s">
        <v>1021</v>
      </c>
    </row>
    <row r="56" customFormat="false" ht="36" hidden="false" customHeight="true" outlineLevel="0" collapsed="false">
      <c r="A56" s="9" t="s">
        <v>1012</v>
      </c>
      <c r="B56" s="9" t="s">
        <v>1014</v>
      </c>
      <c r="C56" s="9" t="s">
        <v>906</v>
      </c>
      <c r="D56" s="9" t="s">
        <v>1016</v>
      </c>
    </row>
    <row r="57" customFormat="false" ht="36" hidden="false" customHeight="true" outlineLevel="0" collapsed="false">
      <c r="A57" s="8" t="s">
        <v>1055</v>
      </c>
      <c r="B57" s="8" t="s">
        <v>1078</v>
      </c>
      <c r="C57" s="8" t="s">
        <v>906</v>
      </c>
      <c r="D57" s="8" t="s">
        <v>1080</v>
      </c>
    </row>
    <row r="58" customFormat="false" ht="36" hidden="false" customHeight="true" outlineLevel="0" collapsed="false">
      <c r="A58" s="9" t="s">
        <v>531</v>
      </c>
      <c r="B58" s="9" t="s">
        <v>530</v>
      </c>
      <c r="C58" s="9" t="s">
        <v>46</v>
      </c>
      <c r="D58" s="9" t="s">
        <v>533</v>
      </c>
    </row>
    <row r="59" customFormat="false" ht="36" hidden="false" customHeight="true" outlineLevel="0" collapsed="false">
      <c r="A59" s="8" t="s">
        <v>524</v>
      </c>
      <c r="B59" s="8" t="s">
        <v>523</v>
      </c>
      <c r="C59" s="8" t="s">
        <v>46</v>
      </c>
      <c r="D59" s="8" t="s">
        <v>527</v>
      </c>
    </row>
    <row r="60" customFormat="false" ht="36" hidden="false" customHeight="true" outlineLevel="0" collapsed="false">
      <c r="A60" s="9" t="s">
        <v>546</v>
      </c>
      <c r="B60" s="9" t="s">
        <v>545</v>
      </c>
      <c r="C60" s="9" t="s">
        <v>46</v>
      </c>
      <c r="D60" s="9" t="s">
        <v>548</v>
      </c>
    </row>
    <row r="61" customFormat="false" ht="36" hidden="false" customHeight="true" outlineLevel="0" collapsed="false">
      <c r="A61" s="8" t="s">
        <v>550</v>
      </c>
      <c r="B61" s="8" t="s">
        <v>552</v>
      </c>
      <c r="C61" s="8" t="s">
        <v>46</v>
      </c>
      <c r="D61" s="8" t="s">
        <v>554</v>
      </c>
    </row>
    <row r="62" customFormat="false" ht="36" hidden="false" customHeight="true" outlineLevel="0" collapsed="false">
      <c r="A62" s="9" t="s">
        <v>560</v>
      </c>
      <c r="B62" s="9" t="s">
        <v>559</v>
      </c>
      <c r="C62" s="9" t="s">
        <v>46</v>
      </c>
      <c r="D62" s="9" t="s">
        <v>562</v>
      </c>
    </row>
    <row r="63" customFormat="false" ht="36" hidden="false" customHeight="true" outlineLevel="0" collapsed="false">
      <c r="A63" s="8" t="s">
        <v>772</v>
      </c>
      <c r="B63" s="8" t="s">
        <v>2268</v>
      </c>
      <c r="C63" s="8" t="s">
        <v>906</v>
      </c>
      <c r="D63" s="8" t="s">
        <v>954</v>
      </c>
    </row>
    <row r="64" customFormat="false" ht="36" hidden="false" customHeight="true" outlineLevel="0" collapsed="false">
      <c r="A64" s="9" t="s">
        <v>921</v>
      </c>
      <c r="B64" s="9" t="s">
        <v>920</v>
      </c>
      <c r="C64" s="9" t="s">
        <v>906</v>
      </c>
      <c r="D64" s="9" t="s">
        <v>924</v>
      </c>
    </row>
    <row r="65" customFormat="false" ht="36" hidden="false" customHeight="true" outlineLevel="0" collapsed="false">
      <c r="A65" s="8" t="s">
        <v>948</v>
      </c>
      <c r="B65" s="8" t="s">
        <v>947</v>
      </c>
      <c r="C65" s="8" t="s">
        <v>906</v>
      </c>
      <c r="D65" s="8" t="s">
        <v>950</v>
      </c>
    </row>
    <row r="66" customFormat="false" ht="36" hidden="false" customHeight="true" outlineLevel="0" collapsed="false">
      <c r="A66" s="9" t="s">
        <v>939</v>
      </c>
      <c r="B66" s="9" t="s">
        <v>2269</v>
      </c>
      <c r="C66" s="9" t="s">
        <v>906</v>
      </c>
      <c r="D66" s="9" t="s">
        <v>2270</v>
      </c>
    </row>
    <row r="67" customFormat="false" ht="36" hidden="false" customHeight="true" outlineLevel="0" collapsed="false">
      <c r="A67" s="8" t="s">
        <v>978</v>
      </c>
      <c r="B67" s="8" t="s">
        <v>977</v>
      </c>
      <c r="C67" s="8" t="s">
        <v>906</v>
      </c>
      <c r="D67" s="8" t="s">
        <v>2271</v>
      </c>
    </row>
    <row r="68" customFormat="false" ht="36" hidden="false" customHeight="true" outlineLevel="0" collapsed="false">
      <c r="A68" s="9" t="s">
        <v>932</v>
      </c>
      <c r="B68" s="9" t="s">
        <v>983</v>
      </c>
      <c r="C68" s="9" t="s">
        <v>906</v>
      </c>
      <c r="D68" s="9" t="s">
        <v>986</v>
      </c>
    </row>
    <row r="69" customFormat="false" ht="36" hidden="false" customHeight="true" outlineLevel="0" collapsed="false">
      <c r="A69" s="8" t="s">
        <v>918</v>
      </c>
      <c r="B69" s="8" t="s">
        <v>990</v>
      </c>
      <c r="C69" s="8" t="s">
        <v>906</v>
      </c>
      <c r="D69" s="8" t="s">
        <v>2272</v>
      </c>
    </row>
    <row r="70" customFormat="false" ht="36" hidden="false" customHeight="true" outlineLevel="0" collapsed="false">
      <c r="A70" s="9" t="s">
        <v>1116</v>
      </c>
      <c r="B70" s="9" t="s">
        <v>2273</v>
      </c>
      <c r="C70" s="9" t="s">
        <v>906</v>
      </c>
      <c r="D70" s="9" t="s">
        <v>1119</v>
      </c>
    </row>
    <row r="71" customFormat="false" ht="36" hidden="false" customHeight="true" outlineLevel="0" collapsed="false">
      <c r="A71" s="8" t="s">
        <v>1112</v>
      </c>
      <c r="B71" s="8" t="s">
        <v>2274</v>
      </c>
      <c r="C71" s="8" t="s">
        <v>906</v>
      </c>
      <c r="D71" s="8" t="s">
        <v>1114</v>
      </c>
    </row>
    <row r="72" customFormat="false" ht="36" hidden="false" customHeight="true" outlineLevel="0" collapsed="false">
      <c r="A72" s="9" t="s">
        <v>1128</v>
      </c>
      <c r="B72" s="9" t="s">
        <v>2275</v>
      </c>
      <c r="C72" s="9" t="s">
        <v>906</v>
      </c>
      <c r="D72" s="9" t="s">
        <v>1130</v>
      </c>
    </row>
    <row r="73" customFormat="false" ht="36" hidden="false" customHeight="true" outlineLevel="0" collapsed="false">
      <c r="A73" s="8" t="s">
        <v>1156</v>
      </c>
      <c r="B73" s="8" t="s">
        <v>2276</v>
      </c>
      <c r="C73" s="8" t="s">
        <v>1147</v>
      </c>
      <c r="D73" s="8" t="s">
        <v>1159</v>
      </c>
    </row>
    <row r="74" customFormat="false" ht="36" hidden="false" customHeight="true" outlineLevel="0" collapsed="false">
      <c r="A74" s="9" t="s">
        <v>1161</v>
      </c>
      <c r="B74" s="9" t="s">
        <v>2277</v>
      </c>
      <c r="C74" s="9" t="s">
        <v>1147</v>
      </c>
      <c r="D74" s="9" t="s">
        <v>1164</v>
      </c>
    </row>
    <row r="75" customFormat="false" ht="36" hidden="false" customHeight="true" outlineLevel="0" collapsed="false">
      <c r="A75" s="8" t="s">
        <v>1167</v>
      </c>
      <c r="B75" s="8" t="s">
        <v>2278</v>
      </c>
      <c r="C75" s="8" t="s">
        <v>1147</v>
      </c>
      <c r="D75" s="8" t="s">
        <v>1169</v>
      </c>
    </row>
    <row r="76" customFormat="false" ht="36" hidden="false" customHeight="true" outlineLevel="0" collapsed="false">
      <c r="A76" s="9" t="s">
        <v>1173</v>
      </c>
      <c r="B76" s="9" t="s">
        <v>2279</v>
      </c>
      <c r="C76" s="9" t="s">
        <v>1147</v>
      </c>
      <c r="D76" s="9" t="s">
        <v>2280</v>
      </c>
    </row>
    <row r="77" customFormat="false" ht="36" hidden="false" customHeight="true" outlineLevel="0" collapsed="false">
      <c r="A77" s="8" t="s">
        <v>1177</v>
      </c>
      <c r="B77" s="8" t="s">
        <v>2281</v>
      </c>
      <c r="C77" s="8" t="s">
        <v>1147</v>
      </c>
      <c r="D77" s="8" t="s">
        <v>2282</v>
      </c>
    </row>
    <row r="78" customFormat="false" ht="36" hidden="false" customHeight="true" outlineLevel="0" collapsed="false">
      <c r="A78" s="9" t="s">
        <v>1248</v>
      </c>
      <c r="B78" s="9" t="s">
        <v>1247</v>
      </c>
      <c r="C78" s="9" t="s">
        <v>1147</v>
      </c>
      <c r="D78" s="9" t="s">
        <v>1251</v>
      </c>
    </row>
    <row r="79" customFormat="false" ht="36" hidden="false" customHeight="true" outlineLevel="0" collapsed="false">
      <c r="A79" s="8" t="s">
        <v>1386</v>
      </c>
      <c r="B79" s="8" t="s">
        <v>2283</v>
      </c>
      <c r="C79" s="8" t="s">
        <v>1147</v>
      </c>
      <c r="D79" s="8" t="s">
        <v>1389</v>
      </c>
    </row>
    <row r="80" customFormat="false" ht="36" hidden="false" customHeight="true" outlineLevel="0" collapsed="false">
      <c r="A80" s="9" t="s">
        <v>1193</v>
      </c>
      <c r="B80" s="9" t="s">
        <v>1355</v>
      </c>
      <c r="C80" s="9" t="s">
        <v>1147</v>
      </c>
      <c r="D80" s="9" t="s">
        <v>1357</v>
      </c>
    </row>
    <row r="81" customFormat="false" ht="36" hidden="false" customHeight="true" outlineLevel="0" collapsed="false">
      <c r="A81" s="8" t="s">
        <v>1343</v>
      </c>
      <c r="B81" s="8" t="s">
        <v>1342</v>
      </c>
      <c r="C81" s="8" t="s">
        <v>1147</v>
      </c>
      <c r="D81" s="8" t="s">
        <v>1345</v>
      </c>
    </row>
    <row r="82" customFormat="false" ht="36" hidden="false" customHeight="true" outlineLevel="0" collapsed="false">
      <c r="A82" s="9" t="s">
        <v>1335</v>
      </c>
      <c r="B82" s="9" t="s">
        <v>1334</v>
      </c>
      <c r="C82" s="9" t="s">
        <v>1147</v>
      </c>
      <c r="D82" s="9" t="s">
        <v>1338</v>
      </c>
    </row>
    <row r="83" customFormat="false" ht="36" hidden="false" customHeight="true" outlineLevel="0" collapsed="false">
      <c r="A83" s="8" t="s">
        <v>963</v>
      </c>
      <c r="B83" s="8" t="s">
        <v>1380</v>
      </c>
      <c r="C83" s="8" t="s">
        <v>1147</v>
      </c>
      <c r="D83" s="8" t="s">
        <v>2284</v>
      </c>
    </row>
    <row r="84" customFormat="false" ht="36" hidden="false" customHeight="true" outlineLevel="0" collapsed="false">
      <c r="A84" s="9" t="s">
        <v>1374</v>
      </c>
      <c r="B84" s="9" t="s">
        <v>1373</v>
      </c>
      <c r="C84" s="9" t="s">
        <v>1147</v>
      </c>
      <c r="D84" s="9" t="s">
        <v>1376</v>
      </c>
    </row>
    <row r="85" customFormat="false" ht="36" hidden="false" customHeight="true" outlineLevel="0" collapsed="false">
      <c r="A85" s="8" t="s">
        <v>490</v>
      </c>
      <c r="B85" s="8" t="s">
        <v>1746</v>
      </c>
      <c r="C85" s="8" t="s">
        <v>485</v>
      </c>
      <c r="D85" s="8" t="s">
        <v>1749</v>
      </c>
    </row>
    <row r="86" customFormat="false" ht="36" hidden="false" customHeight="true" outlineLevel="0" collapsed="false">
      <c r="A86" s="9" t="s">
        <v>1752</v>
      </c>
      <c r="B86" s="9" t="s">
        <v>1754</v>
      </c>
      <c r="C86" s="9" t="s">
        <v>485</v>
      </c>
      <c r="D86" s="9" t="s">
        <v>1756</v>
      </c>
    </row>
    <row r="87" customFormat="false" ht="36" hidden="false" customHeight="true" outlineLevel="0" collapsed="false">
      <c r="A87" s="8" t="s">
        <v>426</v>
      </c>
      <c r="B87" s="8" t="s">
        <v>1773</v>
      </c>
      <c r="C87" s="8" t="s">
        <v>485</v>
      </c>
      <c r="D87" s="8" t="s">
        <v>1776</v>
      </c>
    </row>
    <row r="88" customFormat="false" ht="36" hidden="false" customHeight="true" outlineLevel="0" collapsed="false">
      <c r="A88" s="9" t="s">
        <v>1830</v>
      </c>
      <c r="B88" s="9" t="s">
        <v>1839</v>
      </c>
      <c r="C88" s="9" t="s">
        <v>485</v>
      </c>
      <c r="D88" s="9" t="s">
        <v>1842</v>
      </c>
    </row>
    <row r="89" customFormat="false" ht="36" hidden="false" customHeight="true" outlineLevel="0" collapsed="false">
      <c r="A89" s="8" t="s">
        <v>1845</v>
      </c>
      <c r="B89" s="8" t="s">
        <v>1847</v>
      </c>
      <c r="C89" s="8" t="s">
        <v>485</v>
      </c>
      <c r="D89" s="8" t="s">
        <v>1849</v>
      </c>
    </row>
    <row r="90" customFormat="false" ht="36" hidden="false" customHeight="true" outlineLevel="0" collapsed="false">
      <c r="A90" s="9" t="s">
        <v>1896</v>
      </c>
      <c r="B90" s="9" t="s">
        <v>1898</v>
      </c>
      <c r="C90" s="9" t="s">
        <v>485</v>
      </c>
      <c r="D90" s="9" t="s">
        <v>1900</v>
      </c>
    </row>
    <row r="91" customFormat="false" ht="36" hidden="false" customHeight="true" outlineLevel="0" collapsed="false">
      <c r="A91" s="8" t="s">
        <v>1903</v>
      </c>
      <c r="B91" s="8" t="s">
        <v>1905</v>
      </c>
      <c r="C91" s="8" t="s">
        <v>485</v>
      </c>
      <c r="D91" s="8" t="s">
        <v>2285</v>
      </c>
    </row>
    <row r="92" customFormat="false" ht="36" hidden="false" customHeight="true" outlineLevel="0" collapsed="false">
      <c r="A92" s="9" t="s">
        <v>1809</v>
      </c>
      <c r="B92" s="9" t="s">
        <v>1811</v>
      </c>
      <c r="C92" s="9" t="s">
        <v>485</v>
      </c>
      <c r="D92" s="9" t="s">
        <v>1814</v>
      </c>
    </row>
    <row r="93" customFormat="false" ht="36" hidden="false" customHeight="true" outlineLevel="0" collapsed="false">
      <c r="A93" s="8" t="s">
        <v>1954</v>
      </c>
      <c r="B93" s="8" t="s">
        <v>1967</v>
      </c>
      <c r="C93" s="8" t="s">
        <v>1954</v>
      </c>
      <c r="D93" s="8" t="s">
        <v>1969</v>
      </c>
    </row>
    <row r="94" customFormat="false" ht="36" hidden="false" customHeight="true" outlineLevel="0" collapsed="false">
      <c r="A94" s="9" t="s">
        <v>2003</v>
      </c>
      <c r="B94" s="9" t="s">
        <v>2005</v>
      </c>
      <c r="C94" s="9" t="s">
        <v>1954</v>
      </c>
      <c r="D94" s="9" t="s">
        <v>2008</v>
      </c>
    </row>
    <row r="95" customFormat="false" ht="36" hidden="false" customHeight="true" outlineLevel="0" collapsed="false">
      <c r="A95" s="8" t="s">
        <v>2077</v>
      </c>
      <c r="B95" s="8" t="s">
        <v>2079</v>
      </c>
      <c r="C95" s="8" t="s">
        <v>1954</v>
      </c>
      <c r="D95" s="8" t="s">
        <v>2081</v>
      </c>
    </row>
    <row r="96" customFormat="false" ht="36" hidden="false" customHeight="true" outlineLevel="0" collapsed="false">
      <c r="A96" s="9" t="s">
        <v>2056</v>
      </c>
      <c r="B96" s="9" t="s">
        <v>2055</v>
      </c>
      <c r="C96" s="9" t="s">
        <v>1954</v>
      </c>
      <c r="D96" s="9" t="s">
        <v>2058</v>
      </c>
    </row>
    <row r="97" customFormat="false" ht="36" hidden="false" customHeight="true" outlineLevel="0" collapsed="false">
      <c r="A97" s="8" t="s">
        <v>2169</v>
      </c>
      <c r="B97" s="8" t="s">
        <v>2168</v>
      </c>
      <c r="C97" s="8" t="s">
        <v>1954</v>
      </c>
      <c r="D97" s="8" t="s">
        <v>2171</v>
      </c>
    </row>
    <row r="98" customFormat="false" ht="36" hidden="false" customHeight="true" outlineLevel="0" collapsed="false">
      <c r="A98" s="9" t="s">
        <v>476</v>
      </c>
      <c r="B98" s="9" t="s">
        <v>475</v>
      </c>
      <c r="C98" s="9" t="s">
        <v>46</v>
      </c>
      <c r="D98" s="9" t="s">
        <v>479</v>
      </c>
    </row>
    <row r="99" customFormat="false" ht="36" hidden="false" customHeight="true" outlineLevel="0" collapsed="false">
      <c r="A99" s="8" t="s">
        <v>1505</v>
      </c>
      <c r="B99" s="8" t="s">
        <v>2286</v>
      </c>
      <c r="C99" s="8" t="s">
        <v>1404</v>
      </c>
      <c r="D99" s="8" t="s">
        <v>2287</v>
      </c>
    </row>
    <row r="100" customFormat="false" ht="36" hidden="false" customHeight="true" outlineLevel="0" collapsed="false">
      <c r="A100" s="9" t="s">
        <v>1817</v>
      </c>
      <c r="B100" s="9" t="s">
        <v>2288</v>
      </c>
      <c r="C100" s="9" t="s">
        <v>1404</v>
      </c>
      <c r="D100" s="9" t="s">
        <v>2289</v>
      </c>
    </row>
    <row r="101" customFormat="false" ht="36" hidden="false" customHeight="true" outlineLevel="0" collapsed="false">
      <c r="A101" s="8" t="s">
        <v>2290</v>
      </c>
      <c r="B101" s="8" t="s">
        <v>2291</v>
      </c>
      <c r="C101" s="8" t="s">
        <v>1404</v>
      </c>
      <c r="D101" s="8" t="s">
        <v>2292</v>
      </c>
    </row>
    <row r="102" customFormat="false" ht="36" hidden="false" customHeight="true" outlineLevel="0" collapsed="false">
      <c r="A102" s="9" t="s">
        <v>2293</v>
      </c>
      <c r="B102" s="9" t="s">
        <v>2294</v>
      </c>
      <c r="C102" s="9" t="s">
        <v>1404</v>
      </c>
      <c r="D102" s="9" t="s">
        <v>2295</v>
      </c>
    </row>
    <row r="103" customFormat="false" ht="36" hidden="false" customHeight="true" outlineLevel="0" collapsed="false">
      <c r="A103" s="8" t="s">
        <v>2296</v>
      </c>
      <c r="B103" s="8" t="s">
        <v>2297</v>
      </c>
      <c r="C103" s="8" t="s">
        <v>1404</v>
      </c>
      <c r="D103" s="8" t="s">
        <v>2298</v>
      </c>
    </row>
    <row r="104" customFormat="false" ht="36" hidden="false" customHeight="true" outlineLevel="0" collapsed="false">
      <c r="A104" s="9" t="s">
        <v>1670</v>
      </c>
      <c r="B104" s="9" t="s">
        <v>2299</v>
      </c>
      <c r="C104" s="9" t="s">
        <v>1404</v>
      </c>
      <c r="D104" s="9" t="s">
        <v>2300</v>
      </c>
    </row>
    <row r="105" customFormat="false" ht="36" hidden="false" customHeight="true" outlineLevel="0" collapsed="false">
      <c r="A105" s="8" t="s">
        <v>739</v>
      </c>
      <c r="B105" s="8" t="s">
        <v>741</v>
      </c>
      <c r="C105" s="8" t="s">
        <v>665</v>
      </c>
      <c r="D105" s="8" t="s">
        <v>743</v>
      </c>
    </row>
    <row r="106" customFormat="false" ht="36" hidden="false" customHeight="true" outlineLevel="0" collapsed="false">
      <c r="A106" s="9" t="s">
        <v>791</v>
      </c>
      <c r="B106" s="9" t="s">
        <v>799</v>
      </c>
      <c r="C106" s="9" t="s">
        <v>665</v>
      </c>
      <c r="D106" s="9" t="s">
        <v>801</v>
      </c>
    </row>
    <row r="107" customFormat="false" ht="36" hidden="false" customHeight="true" outlineLevel="0" collapsed="false">
      <c r="A107" s="8" t="s">
        <v>849</v>
      </c>
      <c r="B107" s="8" t="s">
        <v>848</v>
      </c>
      <c r="C107" s="8" t="s">
        <v>665</v>
      </c>
      <c r="D107" s="8" t="s">
        <v>851</v>
      </c>
    </row>
    <row r="108" customFormat="false" ht="36" hidden="false" customHeight="true" outlineLevel="0" collapsed="false">
      <c r="A108" s="9" t="s">
        <v>2301</v>
      </c>
      <c r="B108" s="9" t="s">
        <v>2302</v>
      </c>
      <c r="C108" s="9" t="s">
        <v>46</v>
      </c>
      <c r="D108" s="9" t="s">
        <v>2303</v>
      </c>
    </row>
    <row r="109" customFormat="false" ht="36" hidden="false" customHeight="true" outlineLevel="0" collapsed="false">
      <c r="A109" s="8" t="s">
        <v>2304</v>
      </c>
      <c r="B109" s="8" t="s">
        <v>2305</v>
      </c>
      <c r="C109" s="8" t="s">
        <v>46</v>
      </c>
      <c r="D109" s="8" t="s">
        <v>2306</v>
      </c>
    </row>
    <row r="110" customFormat="false" ht="36" hidden="false" customHeight="true" outlineLevel="0" collapsed="false">
      <c r="A110" s="9" t="s">
        <v>2307</v>
      </c>
      <c r="B110" s="9" t="s">
        <v>2308</v>
      </c>
      <c r="C110" s="9" t="s">
        <v>46</v>
      </c>
      <c r="D110" s="9" t="s">
        <v>2309</v>
      </c>
    </row>
    <row r="111" customFormat="false" ht="36" hidden="false" customHeight="true" outlineLevel="0" collapsed="false">
      <c r="A111" s="8" t="s">
        <v>1371</v>
      </c>
      <c r="B111" s="8" t="s">
        <v>2310</v>
      </c>
      <c r="C111" s="8" t="s">
        <v>46</v>
      </c>
      <c r="D111" s="8" t="s">
        <v>2311</v>
      </c>
    </row>
    <row r="112" customFormat="false" ht="36" hidden="false" customHeight="true" outlineLevel="0" collapsed="false">
      <c r="A112" s="9" t="s">
        <v>2312</v>
      </c>
      <c r="B112" s="9" t="s">
        <v>2313</v>
      </c>
      <c r="C112" s="9" t="s">
        <v>46</v>
      </c>
      <c r="D112" s="9" t="s">
        <v>2314</v>
      </c>
    </row>
    <row r="113" customFormat="false" ht="36" hidden="false" customHeight="true" outlineLevel="0" collapsed="false">
      <c r="A113" s="8" t="s">
        <v>213</v>
      </c>
      <c r="B113" s="8" t="s">
        <v>215</v>
      </c>
      <c r="C113" s="8" t="s">
        <v>46</v>
      </c>
      <c r="D113" s="8" t="s">
        <v>217</v>
      </c>
    </row>
    <row r="114" customFormat="false" ht="36" hidden="false" customHeight="true" outlineLevel="0" collapsed="false">
      <c r="A114" s="9" t="s">
        <v>208</v>
      </c>
      <c r="B114" s="9" t="s">
        <v>207</v>
      </c>
      <c r="C114" s="9" t="s">
        <v>46</v>
      </c>
      <c r="D114" s="9" t="s">
        <v>210</v>
      </c>
    </row>
    <row r="115" customFormat="false" ht="36" hidden="false" customHeight="true" outlineLevel="0" collapsed="false">
      <c r="A115" s="8" t="s">
        <v>189</v>
      </c>
      <c r="B115" s="8" t="s">
        <v>188</v>
      </c>
      <c r="C115" s="8" t="s">
        <v>46</v>
      </c>
      <c r="D115" s="8" t="s">
        <v>191</v>
      </c>
    </row>
  </sheetData>
  <autoFilter ref="A4:D115"/>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52"/>
    <col collapsed="false" customWidth="true" hidden="false" outlineLevel="0" max="3" min="3" style="0" width="48"/>
  </cols>
  <sheetData>
    <row r="1" customFormat="false" ht="27.75" hidden="false" customHeight="true" outlineLevel="0" collapsed="false">
      <c r="A1" s="1" t="s">
        <v>2315</v>
      </c>
      <c r="B1" s="1"/>
      <c r="C1" s="1"/>
    </row>
    <row r="2" customFormat="false" ht="18" hidden="false" customHeight="true" outlineLevel="0" collapsed="false">
      <c r="A2" s="2" t="s">
        <v>1</v>
      </c>
      <c r="B2" s="2"/>
      <c r="C2" s="2"/>
    </row>
    <row r="4" customFormat="false" ht="15" hidden="false" customHeight="false" outlineLevel="0" collapsed="false">
      <c r="A4" s="6" t="s">
        <v>1878</v>
      </c>
      <c r="B4" s="6" t="s">
        <v>2316</v>
      </c>
      <c r="C4" s="6" t="s">
        <v>2317</v>
      </c>
    </row>
    <row r="5" customFormat="false" ht="36" hidden="false" customHeight="true" outlineLevel="0" collapsed="false">
      <c r="A5" s="8" t="s">
        <v>2318</v>
      </c>
      <c r="B5" s="8" t="s">
        <v>2319</v>
      </c>
      <c r="C5" s="8" t="s">
        <v>2320</v>
      </c>
    </row>
    <row r="6" customFormat="false" ht="36" hidden="false" customHeight="true" outlineLevel="0" collapsed="false">
      <c r="A6" s="9" t="s">
        <v>2321</v>
      </c>
      <c r="B6" s="9" t="s">
        <v>1146</v>
      </c>
      <c r="C6" s="9" t="s">
        <v>2322</v>
      </c>
    </row>
    <row r="7" customFormat="false" ht="36" hidden="false" customHeight="true" outlineLevel="0" collapsed="false">
      <c r="A7" s="8" t="s">
        <v>2323</v>
      </c>
      <c r="B7" s="8" t="s">
        <v>2324</v>
      </c>
      <c r="C7" s="8" t="s">
        <v>2325</v>
      </c>
    </row>
    <row r="8" customFormat="false" ht="36" hidden="false" customHeight="true" outlineLevel="0" collapsed="false">
      <c r="A8" s="9" t="s">
        <v>2326</v>
      </c>
      <c r="B8" s="9" t="s">
        <v>2327</v>
      </c>
      <c r="C8" s="9" t="s">
        <v>2328</v>
      </c>
    </row>
    <row r="9" customFormat="false" ht="36" hidden="false" customHeight="true" outlineLevel="0" collapsed="false">
      <c r="A9" s="8" t="s">
        <v>2329</v>
      </c>
      <c r="B9" s="8" t="s">
        <v>62</v>
      </c>
      <c r="C9" s="8" t="s">
        <v>2330</v>
      </c>
    </row>
    <row r="10" customFormat="false" ht="36" hidden="false" customHeight="true" outlineLevel="0" collapsed="false">
      <c r="A10" s="9" t="s">
        <v>2331</v>
      </c>
      <c r="B10" s="9" t="s">
        <v>2332</v>
      </c>
      <c r="C10" s="9" t="s">
        <v>2333</v>
      </c>
    </row>
    <row r="11" customFormat="false" ht="36" hidden="false" customHeight="true" outlineLevel="0" collapsed="false">
      <c r="A11" s="8" t="s">
        <v>2334</v>
      </c>
      <c r="B11" s="8" t="s">
        <v>2335</v>
      </c>
      <c r="C11" s="8" t="s">
        <v>2336</v>
      </c>
    </row>
    <row r="12" customFormat="false" ht="36" hidden="false" customHeight="true" outlineLevel="0" collapsed="false">
      <c r="A12" s="9" t="s">
        <v>2337</v>
      </c>
      <c r="B12" s="9" t="s">
        <v>2338</v>
      </c>
      <c r="C12" s="9" t="s">
        <v>2339</v>
      </c>
    </row>
    <row r="13" customFormat="false" ht="36" hidden="false" customHeight="true" outlineLevel="0" collapsed="false">
      <c r="A13" s="8" t="s">
        <v>2340</v>
      </c>
      <c r="B13" s="8" t="s">
        <v>70</v>
      </c>
      <c r="C13" s="8" t="s">
        <v>2341</v>
      </c>
    </row>
    <row r="14" customFormat="false" ht="36" hidden="false" customHeight="true" outlineLevel="0" collapsed="false">
      <c r="A14" s="9" t="s">
        <v>2342</v>
      </c>
      <c r="B14" s="9" t="s">
        <v>2343</v>
      </c>
      <c r="C14" s="9" t="s">
        <v>2344</v>
      </c>
    </row>
    <row r="15" customFormat="false" ht="36" hidden="false" customHeight="true" outlineLevel="0" collapsed="false">
      <c r="A15" s="8" t="s">
        <v>2345</v>
      </c>
      <c r="B15" s="8" t="s">
        <v>2346</v>
      </c>
      <c r="C15" s="8" t="s">
        <v>2347</v>
      </c>
    </row>
    <row r="16" customFormat="false" ht="36" hidden="false" customHeight="true" outlineLevel="0" collapsed="false">
      <c r="A16" s="9" t="s">
        <v>2348</v>
      </c>
      <c r="B16" s="9" t="s">
        <v>2349</v>
      </c>
      <c r="C16" s="9" t="s">
        <v>2350</v>
      </c>
    </row>
    <row r="17" customFormat="false" ht="36" hidden="false" customHeight="true" outlineLevel="0" collapsed="false">
      <c r="A17" s="8" t="s">
        <v>2351</v>
      </c>
      <c r="B17" s="8" t="s">
        <v>2352</v>
      </c>
      <c r="C17" s="8" t="s">
        <v>881</v>
      </c>
    </row>
    <row r="18" customFormat="false" ht="36" hidden="false" customHeight="true" outlineLevel="0" collapsed="false">
      <c r="A18" s="9" t="s">
        <v>2353</v>
      </c>
      <c r="B18" s="9" t="s">
        <v>2354</v>
      </c>
      <c r="C18" s="9" t="s">
        <v>2355</v>
      </c>
    </row>
    <row r="19" customFormat="false" ht="36" hidden="false" customHeight="true" outlineLevel="0" collapsed="false">
      <c r="A19" s="8" t="s">
        <v>2356</v>
      </c>
      <c r="B19" s="8" t="s">
        <v>2357</v>
      </c>
      <c r="C19" s="8" t="s">
        <v>2358</v>
      </c>
    </row>
    <row r="20" customFormat="false" ht="36" hidden="false" customHeight="true" outlineLevel="0" collapsed="false">
      <c r="A20" s="9" t="s">
        <v>2190</v>
      </c>
      <c r="B20" s="9" t="s">
        <v>2359</v>
      </c>
      <c r="C20" s="9" t="s">
        <v>2360</v>
      </c>
    </row>
    <row r="21" customFormat="false" ht="36" hidden="false" customHeight="true" outlineLevel="0" collapsed="false">
      <c r="A21" s="8" t="s">
        <v>2361</v>
      </c>
      <c r="B21" s="8" t="s">
        <v>2362</v>
      </c>
      <c r="C21" s="8" t="s">
        <v>2363</v>
      </c>
    </row>
    <row r="22" customFormat="false" ht="36" hidden="false" customHeight="true" outlineLevel="0" collapsed="false">
      <c r="A22" s="9" t="s">
        <v>2364</v>
      </c>
      <c r="B22" s="9" t="s">
        <v>2365</v>
      </c>
      <c r="C22" s="9" t="s">
        <v>2366</v>
      </c>
    </row>
    <row r="23" customFormat="false" ht="36" hidden="false" customHeight="true" outlineLevel="0" collapsed="false">
      <c r="A23" s="8" t="s">
        <v>2367</v>
      </c>
      <c r="B23" s="8" t="s">
        <v>2368</v>
      </c>
      <c r="C23" s="8" t="s">
        <v>2369</v>
      </c>
    </row>
    <row r="24" customFormat="false" ht="36" hidden="false" customHeight="true" outlineLevel="0" collapsed="false">
      <c r="A24" s="9" t="s">
        <v>2370</v>
      </c>
      <c r="B24" s="9" t="s">
        <v>2371</v>
      </c>
      <c r="C24" s="9" t="s">
        <v>2372</v>
      </c>
    </row>
    <row r="25" customFormat="false" ht="36" hidden="false" customHeight="true" outlineLevel="0" collapsed="false">
      <c r="A25" s="8" t="s">
        <v>2373</v>
      </c>
      <c r="B25" s="8" t="s">
        <v>2374</v>
      </c>
      <c r="C25" s="8" t="s">
        <v>2375</v>
      </c>
    </row>
    <row r="26" customFormat="false" ht="36" hidden="false" customHeight="true" outlineLevel="0" collapsed="false">
      <c r="A26" s="9" t="s">
        <v>2376</v>
      </c>
      <c r="B26" s="9" t="s">
        <v>1890</v>
      </c>
      <c r="C26" s="9" t="s">
        <v>2377</v>
      </c>
    </row>
    <row r="27" customFormat="false" ht="36" hidden="false" customHeight="true" outlineLevel="0" collapsed="false">
      <c r="A27" s="8" t="s">
        <v>2378</v>
      </c>
      <c r="B27" s="8" t="s">
        <v>2379</v>
      </c>
      <c r="C27" s="8" t="s">
        <v>2380</v>
      </c>
    </row>
    <row r="28" customFormat="false" ht="36" hidden="false" customHeight="true" outlineLevel="0" collapsed="false">
      <c r="A28" s="9" t="s">
        <v>2381</v>
      </c>
      <c r="B28" s="9" t="s">
        <v>2382</v>
      </c>
      <c r="C28" s="9" t="s">
        <v>2383</v>
      </c>
    </row>
    <row r="29" customFormat="false" ht="36" hidden="false" customHeight="true" outlineLevel="0" collapsed="false">
      <c r="A29" s="8" t="s">
        <v>2384</v>
      </c>
      <c r="B29" s="8" t="s">
        <v>2385</v>
      </c>
      <c r="C29" s="8" t="s">
        <v>2386</v>
      </c>
    </row>
    <row r="30" customFormat="false" ht="36" hidden="false" customHeight="true" outlineLevel="0" collapsed="false">
      <c r="A30" s="9" t="s">
        <v>2387</v>
      </c>
      <c r="B30" s="9" t="s">
        <v>2388</v>
      </c>
      <c r="C30" s="9" t="s">
        <v>2389</v>
      </c>
    </row>
    <row r="31" customFormat="false" ht="36" hidden="false" customHeight="true" outlineLevel="0" collapsed="false">
      <c r="A31" s="8" t="s">
        <v>2390</v>
      </c>
      <c r="B31" s="8" t="s">
        <v>2391</v>
      </c>
      <c r="C31" s="8" t="s">
        <v>2392</v>
      </c>
    </row>
  </sheetData>
  <autoFilter ref="A4:C31"/>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8"/>
    <col collapsed="false" customWidth="true" hidden="false" outlineLevel="0" max="3" min="3" style="0" width="12"/>
    <col collapsed="false" customWidth="true" hidden="false" outlineLevel="0" max="6" min="4" style="0" width="14"/>
  </cols>
  <sheetData>
    <row r="1" customFormat="false" ht="27.75" hidden="false" customHeight="true" outlineLevel="0" collapsed="false">
      <c r="A1" s="1" t="s">
        <v>2393</v>
      </c>
      <c r="B1" s="1"/>
      <c r="C1" s="1"/>
      <c r="D1" s="1"/>
      <c r="E1" s="1"/>
      <c r="F1" s="1"/>
    </row>
    <row r="2" customFormat="false" ht="18" hidden="false" customHeight="true" outlineLevel="0" collapsed="false">
      <c r="A2" s="2" t="s">
        <v>1</v>
      </c>
      <c r="B2" s="2"/>
      <c r="C2" s="2"/>
      <c r="D2" s="2"/>
      <c r="E2" s="2"/>
      <c r="F2" s="2"/>
    </row>
    <row r="4" customFormat="false" ht="15" hidden="false" customHeight="false" outlineLevel="0" collapsed="false">
      <c r="A4" s="6" t="s">
        <v>37</v>
      </c>
      <c r="B4" s="6" t="s">
        <v>2394</v>
      </c>
      <c r="C4" s="6" t="s">
        <v>2395</v>
      </c>
    </row>
    <row r="5" customFormat="false" ht="19.5" hidden="false" customHeight="true" outlineLevel="0" collapsed="false">
      <c r="A5" s="13" t="s">
        <v>46</v>
      </c>
      <c r="B5" s="14" t="n">
        <f aca="false">COUNTIF(tbl_Master[Domain],A5)</f>
        <v>97</v>
      </c>
      <c r="C5" s="15" t="n">
        <f aca="false">IF($B$12=0,0,B5/$B$12)</f>
        <v>0.277936962750716</v>
      </c>
    </row>
    <row r="6" customFormat="false" ht="19.5" hidden="false" customHeight="true" outlineLevel="0" collapsed="false">
      <c r="A6" s="13" t="s">
        <v>665</v>
      </c>
      <c r="B6" s="14" t="n">
        <f aca="false">COUNTIF(tbl_Master[Domain],A6)</f>
        <v>38</v>
      </c>
      <c r="C6" s="15" t="n">
        <f aca="false">IF($B$12=0,0,B6/$B$12)</f>
        <v>0.108882521489971</v>
      </c>
    </row>
    <row r="7" customFormat="false" ht="19.5" hidden="false" customHeight="true" outlineLevel="0" collapsed="false">
      <c r="A7" s="13" t="s">
        <v>906</v>
      </c>
      <c r="B7" s="14" t="n">
        <f aca="false">COUNTIF(tbl_Master[Domain],A7)</f>
        <v>40</v>
      </c>
      <c r="C7" s="15" t="n">
        <f aca="false">IF($B$12=0,0,B7/$B$12)</f>
        <v>0.114613180515759</v>
      </c>
    </row>
    <row r="8" customFormat="false" ht="19.5" hidden="false" customHeight="true" outlineLevel="0" collapsed="false">
      <c r="A8" s="13" t="s">
        <v>1147</v>
      </c>
      <c r="B8" s="14" t="n">
        <f aca="false">COUNTIF(tbl_Master[Domain],A8)</f>
        <v>43</v>
      </c>
      <c r="C8" s="15" t="n">
        <f aca="false">IF($B$12=0,0,B8/$B$12)</f>
        <v>0.123209169054441</v>
      </c>
    </row>
    <row r="9" customFormat="false" ht="19.5" hidden="false" customHeight="true" outlineLevel="0" collapsed="false">
      <c r="A9" s="13" t="s">
        <v>1404</v>
      </c>
      <c r="B9" s="14" t="n">
        <f aca="false">COUNTIF(tbl_Master[Domain],A9)</f>
        <v>54</v>
      </c>
      <c r="C9" s="15" t="n">
        <f aca="false">IF($B$12=0,0,B9/$B$12)</f>
        <v>0.154727793696275</v>
      </c>
    </row>
    <row r="10" customFormat="false" ht="19.5" hidden="false" customHeight="true" outlineLevel="0" collapsed="false">
      <c r="A10" s="13" t="s">
        <v>485</v>
      </c>
      <c r="B10" s="14" t="n">
        <f aca="false">COUNTIF(tbl_Master[Domain],A10)</f>
        <v>33</v>
      </c>
      <c r="C10" s="15" t="n">
        <f aca="false">IF($B$12=0,0,B10/$B$12)</f>
        <v>0.0945558739255014</v>
      </c>
    </row>
    <row r="11" customFormat="false" ht="19.5" hidden="false" customHeight="true" outlineLevel="0" collapsed="false">
      <c r="A11" s="13" t="s">
        <v>1954</v>
      </c>
      <c r="B11" s="14" t="n">
        <f aca="false">COUNTIF(tbl_Master[Domain],A11)</f>
        <v>44</v>
      </c>
      <c r="C11" s="15" t="n">
        <f aca="false">IF($B$12=0,0,B11/$B$12)</f>
        <v>0.126074498567335</v>
      </c>
    </row>
    <row r="12" customFormat="false" ht="19.5" hidden="false" customHeight="true" outlineLevel="0" collapsed="false">
      <c r="A12" s="16" t="s">
        <v>2396</v>
      </c>
      <c r="B12" s="17" t="n">
        <f aca="false">SUM(B5:B11)</f>
        <v>349</v>
      </c>
      <c r="C12" s="18" t="n">
        <f aca="false">SUM(C5:C11)</f>
        <v>1</v>
      </c>
    </row>
    <row r="13" customFormat="false" ht="19.5" hidden="false" customHeight="true" outlineLevel="0" collapsed="false"/>
    <row r="14" customFormat="false" ht="19.5" hidden="false" customHeight="true" outlineLevel="0" collapsed="false">
      <c r="A14" s="0" t="s">
        <v>2397</v>
      </c>
      <c r="B14" s="0" t="n">
        <f aca="false">COUNTA(tbl_Abbr[Abbr])</f>
        <v>111</v>
      </c>
    </row>
    <row r="15" customFormat="false" ht="19.5" hidden="false" customHeight="true" outlineLevel="0" collapsed="false">
      <c r="A15" s="0" t="s">
        <v>2398</v>
      </c>
      <c r="B15" s="0" t="n">
        <f aca="false">COUNTA(tbl_Sources[Document])</f>
        <v>27</v>
      </c>
    </row>
    <row r="16" customFormat="false" ht="19.5" hidden="false" customHeight="true" outlineLevel="0" collapsed="false">
      <c r="A16" s="0" t="s">
        <v>2399</v>
      </c>
      <c r="B16" s="0" t="n">
        <f aca="false">SUMPRODUCT((tbl_Master[Abbreviation]&lt;&gt;"")/COUNTIF(tbl_Master[Abbreviation],tbl_Master[Abbreviation]&amp;""))</f>
        <v>213</v>
      </c>
    </row>
    <row r="18" customFormat="false" ht="15" hidden="false" customHeight="false" outlineLevel="0" collapsed="false">
      <c r="A18" s="19" t="s">
        <v>2400</v>
      </c>
    </row>
    <row r="19" customFormat="false" ht="15" hidden="false" customHeight="true" outlineLevel="0" collapsed="false">
      <c r="A19" s="20" t="s">
        <v>2401</v>
      </c>
      <c r="B19" s="20"/>
      <c r="C19" s="20"/>
    </row>
    <row r="20" customFormat="false" ht="15" hidden="false" customHeight="false" outlineLevel="0" collapsed="false">
      <c r="A20" s="20"/>
      <c r="B20" s="20"/>
      <c r="C20" s="20"/>
    </row>
    <row r="21" customFormat="false" ht="15" hidden="false" customHeight="false" outlineLevel="0" collapsed="false">
      <c r="A21" s="20"/>
      <c r="B21" s="20"/>
      <c r="C21" s="20"/>
    </row>
    <row r="22" customFormat="false" ht="15" hidden="false" customHeight="false" outlineLevel="0" collapsed="false">
      <c r="A22" s="20"/>
      <c r="B22" s="20"/>
      <c r="C22" s="20"/>
    </row>
    <row r="23" customFormat="false" ht="15" hidden="false" customHeight="false" outlineLevel="0" collapsed="false">
      <c r="A23" s="20"/>
      <c r="B23" s="20"/>
      <c r="C23" s="20"/>
    </row>
    <row r="24" customFormat="false" ht="15" hidden="false" customHeight="false" outlineLevel="0" collapsed="false">
      <c r="A24" s="20"/>
      <c r="B24" s="20"/>
      <c r="C24" s="20"/>
    </row>
  </sheetData>
  <mergeCells count="3">
    <mergeCell ref="A1:F1"/>
    <mergeCell ref="A2:F2"/>
    <mergeCell ref="A19:C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0" width="28"/>
  </cols>
  <sheetData>
    <row r="1" customFormat="false" ht="27.75" hidden="false" customHeight="true" outlineLevel="0" collapsed="false">
      <c r="A1" s="1" t="s">
        <v>2402</v>
      </c>
      <c r="B1" s="1"/>
      <c r="C1" s="1"/>
      <c r="D1" s="1"/>
    </row>
    <row r="2" customFormat="false" ht="18" hidden="false" customHeight="true" outlineLevel="0" collapsed="false">
      <c r="A2" s="2" t="s">
        <v>1</v>
      </c>
      <c r="B2" s="2"/>
      <c r="C2" s="2"/>
      <c r="D2" s="2"/>
    </row>
    <row r="4" customFormat="false" ht="15" hidden="false" customHeight="false" outlineLevel="0" collapsed="false">
      <c r="A4" s="21" t="s">
        <v>2403</v>
      </c>
      <c r="B4" s="21"/>
      <c r="C4" s="21"/>
      <c r="D4" s="21"/>
    </row>
    <row r="6" customFormat="false" ht="219.75" hidden="false" customHeight="true" outlineLevel="0" collapsed="false">
      <c r="A6" s="22" t="s">
        <v>2404</v>
      </c>
      <c r="B6" s="22"/>
      <c r="C6" s="22"/>
      <c r="D6" s="22"/>
    </row>
    <row r="7" customFormat="false" ht="15" hidden="false" customHeight="false" outlineLevel="0" collapsed="false">
      <c r="A7" s="22"/>
      <c r="B7" s="22"/>
      <c r="C7" s="22"/>
      <c r="D7" s="22"/>
    </row>
    <row r="8" customFormat="false" ht="15" hidden="false" customHeight="false" outlineLevel="0" collapsed="false">
      <c r="A8" s="22"/>
      <c r="B8" s="22"/>
      <c r="C8" s="22"/>
      <c r="D8" s="22"/>
    </row>
    <row r="9" customFormat="false" ht="15" hidden="false" customHeight="false" outlineLevel="0" collapsed="false">
      <c r="A9" s="22"/>
      <c r="B9" s="22"/>
      <c r="C9" s="22"/>
      <c r="D9" s="22"/>
    </row>
    <row r="10" customFormat="false" ht="15" hidden="false" customHeight="false" outlineLevel="0" collapsed="false">
      <c r="A10" s="22"/>
      <c r="B10" s="22"/>
      <c r="C10" s="22"/>
      <c r="D10" s="22"/>
    </row>
    <row r="11" customFormat="false" ht="15" hidden="false" customHeight="false" outlineLevel="0" collapsed="false">
      <c r="A11" s="22"/>
      <c r="B11" s="22"/>
      <c r="C11" s="22"/>
      <c r="D11" s="22"/>
    </row>
    <row r="12" customFormat="false" ht="15" hidden="false" customHeight="false" outlineLevel="0" collapsed="false">
      <c r="A12" s="22"/>
      <c r="B12" s="22"/>
      <c r="C12" s="22"/>
      <c r="D12" s="22"/>
    </row>
    <row r="13" customFormat="false" ht="15" hidden="false" customHeight="false" outlineLevel="0" collapsed="false">
      <c r="A13" s="22"/>
      <c r="B13" s="22"/>
      <c r="C13" s="22"/>
      <c r="D13" s="22"/>
    </row>
    <row r="14" customFormat="false" ht="15" hidden="false" customHeight="false" outlineLevel="0" collapsed="false">
      <c r="A14" s="22"/>
      <c r="B14" s="22"/>
      <c r="C14" s="22"/>
      <c r="D14" s="22"/>
    </row>
    <row r="15" customFormat="false" ht="15" hidden="false" customHeight="false" outlineLevel="0" collapsed="false">
      <c r="A15" s="22"/>
      <c r="B15" s="22"/>
      <c r="C15" s="22"/>
      <c r="D15" s="22"/>
    </row>
    <row r="16" customFormat="false" ht="15" hidden="false" customHeight="false" outlineLevel="0" collapsed="false">
      <c r="A16" s="22"/>
      <c r="B16" s="22"/>
      <c r="C16" s="22"/>
      <c r="D16" s="22"/>
    </row>
    <row r="17" customFormat="false" ht="15" hidden="false" customHeight="false" outlineLevel="0" collapsed="false">
      <c r="A17" s="22"/>
      <c r="B17" s="22"/>
      <c r="C17" s="22"/>
      <c r="D17" s="22"/>
    </row>
    <row r="18" customFormat="false" ht="15" hidden="false" customHeight="false" outlineLevel="0" collapsed="false">
      <c r="A18" s="22"/>
      <c r="B18" s="22"/>
      <c r="C18" s="22"/>
      <c r="D18" s="22"/>
    </row>
    <row r="19" customFormat="false" ht="15" hidden="false" customHeight="false" outlineLevel="0" collapsed="false">
      <c r="A19" s="22"/>
      <c r="B19" s="22"/>
      <c r="C19" s="22"/>
      <c r="D19" s="22"/>
    </row>
    <row r="20" customFormat="false" ht="15" hidden="false" customHeight="false" outlineLevel="0" collapsed="false">
      <c r="A20" s="22"/>
      <c r="B20" s="22"/>
      <c r="C20" s="22"/>
      <c r="D20" s="22"/>
    </row>
    <row r="21" customFormat="false" ht="15" hidden="false" customHeight="false" outlineLevel="0" collapsed="false">
      <c r="A21" s="22"/>
      <c r="B21" s="22"/>
      <c r="C21" s="22"/>
      <c r="D21" s="22"/>
    </row>
    <row r="22" customFormat="false" ht="15" hidden="false" customHeight="false" outlineLevel="0" collapsed="false">
      <c r="A22" s="22"/>
      <c r="B22" s="22"/>
      <c r="C22" s="22"/>
      <c r="D22" s="22"/>
    </row>
    <row r="23" customFormat="false" ht="15" hidden="false" customHeight="false" outlineLevel="0" collapsed="false">
      <c r="A23" s="22"/>
      <c r="B23" s="22"/>
      <c r="C23" s="22"/>
      <c r="D23" s="22"/>
    </row>
    <row r="24" customFormat="false" ht="15" hidden="false" customHeight="false" outlineLevel="0" collapsed="false">
      <c r="A24" s="22"/>
      <c r="B24" s="22"/>
      <c r="C24" s="22"/>
      <c r="D24" s="22"/>
    </row>
    <row r="25" customFormat="false" ht="15" hidden="false" customHeight="false" outlineLevel="0" collapsed="false">
      <c r="A25" s="22"/>
      <c r="B25" s="22"/>
      <c r="C25" s="22"/>
      <c r="D25" s="22"/>
    </row>
    <row r="26" customFormat="false" ht="15" hidden="false" customHeight="false" outlineLevel="0" collapsed="false">
      <c r="A26" s="22"/>
      <c r="B26" s="22"/>
      <c r="C26" s="22"/>
      <c r="D26" s="22"/>
    </row>
    <row r="27" customFormat="false" ht="15" hidden="false" customHeight="false" outlineLevel="0" collapsed="false">
      <c r="A27" s="22"/>
      <c r="B27" s="22"/>
      <c r="C27" s="22"/>
      <c r="D27" s="22"/>
    </row>
    <row r="28" customFormat="false" ht="15" hidden="false" customHeight="false" outlineLevel="0" collapsed="false">
      <c r="A28" s="22"/>
      <c r="B28" s="22"/>
      <c r="C28" s="22"/>
      <c r="D28" s="22"/>
    </row>
    <row r="30" customFormat="false" ht="15" hidden="false" customHeight="false" outlineLevel="0" collapsed="false">
      <c r="A30" s="23" t="s">
        <v>2405</v>
      </c>
      <c r="B30" s="23"/>
      <c r="C30" s="23"/>
      <c r="D30" s="23"/>
    </row>
    <row r="31" customFormat="false" ht="159.75" hidden="false" customHeight="true" outlineLevel="0" collapsed="false">
      <c r="A31" s="24" t="s">
        <v>2406</v>
      </c>
      <c r="B31" s="24"/>
      <c r="C31" s="24"/>
      <c r="D31" s="24"/>
    </row>
    <row r="32" customFormat="false" ht="15" hidden="false" customHeight="false" outlineLevel="0" collapsed="false">
      <c r="A32" s="24"/>
      <c r="B32" s="24"/>
      <c r="C32" s="24"/>
      <c r="D32" s="24"/>
    </row>
    <row r="33" customFormat="false" ht="15" hidden="false" customHeight="false" outlineLevel="0" collapsed="false">
      <c r="A33" s="24"/>
      <c r="B33" s="24"/>
      <c r="C33" s="24"/>
      <c r="D33" s="24"/>
    </row>
    <row r="34" customFormat="false" ht="15" hidden="false" customHeight="false" outlineLevel="0" collapsed="false">
      <c r="A34" s="24"/>
      <c r="B34" s="24"/>
      <c r="C34" s="24"/>
      <c r="D34" s="24"/>
    </row>
    <row r="35" customFormat="false" ht="15" hidden="false" customHeight="false" outlineLevel="0" collapsed="false">
      <c r="A35" s="24"/>
      <c r="B35" s="24"/>
      <c r="C35" s="24"/>
      <c r="D35" s="24"/>
    </row>
    <row r="36" customFormat="false" ht="15" hidden="false" customHeight="false" outlineLevel="0" collapsed="false">
      <c r="A36" s="24"/>
      <c r="B36" s="24"/>
      <c r="C36" s="24"/>
      <c r="D36" s="24"/>
    </row>
    <row r="37" customFormat="false" ht="15" hidden="false" customHeight="false" outlineLevel="0" collapsed="false">
      <c r="A37" s="24"/>
      <c r="B37" s="24"/>
      <c r="C37" s="24"/>
      <c r="D37" s="24"/>
    </row>
    <row r="38" customFormat="false" ht="15" hidden="false" customHeight="false" outlineLevel="0" collapsed="false">
      <c r="A38" s="24"/>
      <c r="B38" s="24"/>
      <c r="C38" s="24"/>
      <c r="D38" s="24"/>
    </row>
    <row r="39" customFormat="false" ht="15" hidden="false" customHeight="false" outlineLevel="0" collapsed="false">
      <c r="A39" s="24"/>
      <c r="B39" s="24"/>
      <c r="C39" s="24"/>
      <c r="D39" s="24"/>
    </row>
    <row r="40" customFormat="false" ht="15" hidden="false" customHeight="false" outlineLevel="0" collapsed="false">
      <c r="A40" s="24"/>
      <c r="B40" s="24"/>
      <c r="C40" s="24"/>
      <c r="D40" s="24"/>
    </row>
    <row r="42" customFormat="false" ht="15" hidden="false" customHeight="true" outlineLevel="0" collapsed="false">
      <c r="A42" s="20" t="s">
        <v>2407</v>
      </c>
      <c r="B42" s="20"/>
      <c r="C42" s="20"/>
      <c r="D42" s="20"/>
    </row>
    <row r="43" customFormat="false" ht="15" hidden="false" customHeight="false" outlineLevel="0" collapsed="false">
      <c r="A43" s="20"/>
      <c r="B43" s="20"/>
      <c r="C43" s="20"/>
      <c r="D43" s="20"/>
    </row>
    <row r="44" customFormat="false" ht="15" hidden="false" customHeight="false" outlineLevel="0" collapsed="false">
      <c r="A44" s="20"/>
      <c r="B44" s="20"/>
      <c r="C44" s="20"/>
      <c r="D44" s="20"/>
    </row>
    <row r="45" customFormat="false" ht="15" hidden="false" customHeight="false" outlineLevel="0" collapsed="false">
      <c r="A45" s="20"/>
      <c r="B45" s="20"/>
      <c r="C45" s="20"/>
      <c r="D45" s="20"/>
    </row>
  </sheetData>
  <mergeCells count="7">
    <mergeCell ref="A1:D1"/>
    <mergeCell ref="A2:D2"/>
    <mergeCell ref="A4:D4"/>
    <mergeCell ref="A6:D28"/>
    <mergeCell ref="A30:D30"/>
    <mergeCell ref="A31:D40"/>
    <mergeCell ref="A42:D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2026-09-12T00:06:34Z</dcterms:created>
  <dc:creator>openpyxl</dc:creator>
  <dc:description/>
  <dc:language>en-US</dc:language>
  <cp:lastModifiedBy/>
  <dcterms:modified xsi:type="dcterms:W3CDTF">2026-09-12T00:06:43Z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